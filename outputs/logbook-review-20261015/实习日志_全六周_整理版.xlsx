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4F469CA-B7D6-47ED-8326-DF06D2F7332B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周报（第1周）" sheetId="2" r:id="rId1"/>
    <sheet name="周报（第2周）" sheetId="3" r:id="rId2"/>
    <sheet name="周报（第3周）" sheetId="4" r:id="rId3"/>
    <sheet name="周报（第4周）" sheetId="5" r:id="rId4"/>
    <sheet name="周报（第5周）" sheetId="6" r:id="rId5"/>
    <sheet name="周报（第6周）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7" l="1"/>
  <c r="A45" i="7"/>
  <c r="A38" i="7"/>
  <c r="A31" i="7"/>
  <c r="A24" i="7"/>
  <c r="A17" i="7"/>
  <c r="A10" i="7"/>
  <c r="I5" i="7"/>
  <c r="H5" i="7"/>
  <c r="G5" i="7"/>
  <c r="F5" i="7"/>
  <c r="E5" i="7"/>
  <c r="D5" i="7"/>
  <c r="C5" i="7"/>
  <c r="H3" i="7"/>
  <c r="F3" i="7"/>
  <c r="A52" i="6"/>
  <c r="A45" i="6"/>
  <c r="A38" i="6"/>
  <c r="A31" i="6"/>
  <c r="A24" i="6"/>
  <c r="A17" i="6"/>
  <c r="A10" i="6"/>
  <c r="I5" i="6"/>
  <c r="H5" i="6"/>
  <c r="G5" i="6"/>
  <c r="F5" i="6"/>
  <c r="E5" i="6"/>
  <c r="D5" i="6"/>
  <c r="C5" i="6"/>
  <c r="H3" i="6"/>
  <c r="F3" i="6"/>
  <c r="A52" i="5"/>
  <c r="A45" i="5"/>
  <c r="A38" i="5"/>
  <c r="A31" i="5"/>
  <c r="A24" i="5"/>
  <c r="A17" i="5"/>
  <c r="A10" i="5"/>
  <c r="I5" i="5"/>
  <c r="H5" i="5"/>
  <c r="G5" i="5"/>
  <c r="F5" i="5"/>
  <c r="E5" i="5"/>
  <c r="D5" i="5"/>
  <c r="C5" i="5"/>
  <c r="H3" i="5"/>
  <c r="F3" i="5"/>
  <c r="A52" i="4"/>
  <c r="A45" i="4"/>
  <c r="A38" i="4"/>
  <c r="A31" i="4"/>
  <c r="A24" i="4"/>
  <c r="A17" i="4"/>
  <c r="A10" i="4"/>
  <c r="I5" i="4"/>
  <c r="H5" i="4"/>
  <c r="G5" i="4"/>
  <c r="F5" i="4"/>
  <c r="E5" i="4"/>
  <c r="D5" i="4"/>
  <c r="C5" i="4"/>
  <c r="F3" i="4"/>
  <c r="A52" i="3"/>
  <c r="A45" i="3"/>
  <c r="A38" i="3"/>
  <c r="A31" i="3"/>
  <c r="A24" i="3"/>
  <c r="A17" i="3"/>
  <c r="A10" i="3"/>
  <c r="I5" i="3"/>
  <c r="H5" i="3"/>
  <c r="G5" i="3"/>
  <c r="F5" i="3"/>
  <c r="E5" i="3"/>
  <c r="D5" i="3"/>
  <c r="C5" i="3"/>
  <c r="F3" i="3"/>
  <c r="A52" i="2"/>
  <c r="A45" i="2"/>
  <c r="A38" i="2"/>
  <c r="A31" i="2"/>
  <c r="A24" i="2"/>
  <c r="A17" i="2"/>
  <c r="A10" i="2"/>
  <c r="I5" i="2"/>
  <c r="H5" i="2"/>
  <c r="G5" i="2"/>
  <c r="F5" i="2"/>
  <c r="E5" i="2"/>
  <c r="D5" i="2"/>
  <c r="C5" i="2"/>
  <c r="F3" i="2"/>
</calcChain>
</file>

<file path=xl/sharedStrings.xml><?xml version="1.0" encoding="utf-8"?>
<sst xmlns="http://schemas.openxmlformats.org/spreadsheetml/2006/main" count="379" uniqueCount="254">
  <si>
    <t>实习周报（第1周）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</si>
  <si>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</si>
  <si>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</si>
  <si>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</si>
  <si>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</si>
  <si>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</si>
  <si>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</si>
  <si>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</si>
  <si>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</si>
  <si>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</si>
  <si>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</si>
  <si>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</si>
  <si>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</si>
  <si>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曾祥辉</t>
  </si>
  <si>
    <t>摘要</t>
  </si>
  <si>
    <t>生产实习动员会</t>
  </si>
  <si>
    <t>详细工作内容</t>
  </si>
  <si>
    <t>老师开展了实习动员大会，说明实习的目的、内容和安排及报告要求，强调成果要覆盖“云、边、端”完整体系。</t>
  </si>
  <si>
    <t>三端中至少有一端以代码开发为主，并说明此次生产实习可以与毕业设计相结合，提前为毕业设计做准备。</t>
  </si>
  <si>
    <t>确立选题，明确系统功能</t>
  </si>
  <si>
    <t>本次选择的题目是《家庭厨房燃气泄漏与火灾报警系统设计》，上网搜集资料，明确系统所要实现的基本功能。</t>
  </si>
  <si>
    <t>系统可实现燃气、烟雾、温度、火焰等多源检测，本地声光报警与自动联动（关闭电磁阀、启动排风扇），</t>
  </si>
  <si>
    <t>切断非消防电源，并支持云端监控、APP/Web端远程看板和大模型智能分析。</t>
  </si>
  <si>
    <t xml:space="preserve">               </t>
  </si>
  <si>
    <t>系统总体方案规划</t>
  </si>
  <si>
    <t>确定“本地实时响应、云端智能判断”的思路：本地端负责数据采集、阈值报警与联动控制，断网时独立可用；</t>
  </si>
  <si>
    <t>云端负责数据存储、远程推送和基于历史数据的趋势分析。结合个人积累，嵌入式端以硬件选型、电路框图、</t>
  </si>
  <si>
    <t>程序流程图和核心逻辑为主，重点深化云端大模型分析模块，与本人求职方向（大模型应用开发）保持一致。</t>
  </si>
  <si>
    <t>需求细化与决策权划分</t>
  </si>
  <si>
    <t>细化系统输入与输出：触发条件为燃气/烟雾浓度超阈值、火焰信号触发或温度异常骤升；</t>
  </si>
  <si>
    <t>输出为LCD数值显示、蜂鸣器鸣响加闪光报警、电磁阀关闭、排风扇启动、非消防电源切断；</t>
  </si>
  <si>
    <t>以及APP/Web端实时看板、远程关阀响应和大模型分析结论。</t>
  </si>
  <si>
    <t>决策权划分：断网时本地独立判断与联动，联网时云端大模型辅助判断报警可信度、泄漏类型并给出应急建议。</t>
  </si>
  <si>
    <t>软件与开发环境准备</t>
  </si>
  <si>
    <t>安装并配置Python开发环境及常用库，调研嵌入式开发工具链与调试软件；</t>
  </si>
  <si>
    <t>对比并注册常用物联网云平台（如OneNET、阿里云IoT、巴法云等），熟悉设备接入流程；</t>
  </si>
  <si>
    <t>申请大模型API服务（如DeepSeek、通义千问等）并完成调用连通性测试，为后续开发做好准备。</t>
  </si>
  <si>
    <t>补充学习嵌入式与传感器知识</t>
  </si>
  <si>
    <t>针对本人对嵌入式开发（传感器驱动、ADC采样等）相对陌生的情况，学习单片机基础与传感器工作原理；</t>
  </si>
  <si>
    <t>查阅燃气（如MQ系列）、烟雾、温度、火焰传感器的原理图、引脚定义与接口方式；</t>
  </si>
  <si>
    <t>结合开题报告中的困惑点，明确嵌入式端以框图、流程图和核心逻辑为主的开发深度，合理分配两端学习精力。</t>
  </si>
  <si>
    <t>第一周总结与下周计划</t>
  </si>
  <si>
    <t>整理第一周成果：完成选题、系统功能定义、总体架构设计、本地与云端决策权划分，软件与开发环境准备就绪。</t>
  </si>
  <si>
    <t>规划第二周：硬件选型采购，搭建硬件测试环境，熟悉传感器原理与驱动，云平台与大模型API联调测试。</t>
  </si>
  <si>
    <t>下周工作安排</t>
  </si>
  <si>
    <t>硬件选型与采购：嵌入式开发板、燃气/烟雾/温度/火焰传感器、蜂鸣器、继电器与电磁阀模块等；</t>
  </si>
  <si>
    <t>搭建硬件测试环境，LCD显示屏、排风扇等其余模块后续采购，继续学习相关基础知识和传感器原理图；</t>
  </si>
  <si>
    <t>开展物联网云平台设备接入与大模型API调用联调测试，为后续开发做好准备。</t>
  </si>
  <si>
    <t>实习周报（第2周）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</si>
  <si>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</si>
  <si>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</si>
  <si>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</si>
  <si>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</si>
  <si>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</si>
  <si>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</si>
  <si>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</si>
  <si>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</si>
  <si>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</si>
  <si>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</si>
  <si>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</si>
  <si>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</si>
  <si>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曾祥辉</t>
  </si>
  <si>
    <t>摘要</t>
  </si>
  <si>
    <t>硬件选型与下单采购</t>
  </si>
  <si>
    <t>详细工作内容</t>
  </si>
  <si>
    <t>根据开题报告确定的系统方案，对比常用嵌入式开发板与传感器的参数、价格和供货情况，完成选型并下单采购。</t>
  </si>
  <si>
    <t>采购清单：嵌入式开发板、燃气（MQ系列）、烟雾、温度、火焰传感器、蜂鸣器、继电器与电磁阀模块等。</t>
  </si>
  <si>
    <t xml:space="preserve">                </t>
  </si>
  <si>
    <t>搭建硬件测试环境</t>
  </si>
  <si>
    <t>收到硬件后清点核对采购清单，搭建硬件测试环境：开发板连接电脑、安装驱动并确认串口识别正常。</t>
  </si>
  <si>
    <t>按电路框图完成传感器模块与开发板的初步接线，为后续数据读取实验做好准备。</t>
  </si>
  <si>
    <t>学习传感器原理与驱动</t>
  </si>
  <si>
    <t>学习燃气、烟雾、温度、火焰传感器的工作原理、引脚定义与输出信号类型（模拟量/数字量）。</t>
  </si>
  <si>
    <t>编写并运行传感器数据读取程序，在串口终端输出各传感器采集数值，验证模块工作正常。</t>
  </si>
  <si>
    <t>物联网云平台设备接入</t>
  </si>
  <si>
    <t>在物联网云平台创建产品与设备，获取设备鉴权信息，编写设备端数据上报程序。</t>
  </si>
  <si>
    <t>打通开发板到云平台的数据链路，在云端实时查看温度等传感器数据，验证上报与存储正常。</t>
  </si>
  <si>
    <t xml:space="preserve">                 </t>
  </si>
  <si>
    <t>大模型API联调测试</t>
  </si>
  <si>
    <t>搭建本地-云端数据通路，将传感器采集数据作为输入，调用大模型API进行趋势分析与告警判断测试。</t>
  </si>
  <si>
    <t>验证大模型返回的报警可信度、泄漏类型判断与应急建议格式，为云端智能分析模块开发做准备。</t>
  </si>
  <si>
    <t>LCD显示与报警联动逻辑设计</t>
  </si>
  <si>
    <t>编写LCD显示屏驱动代码，将传感器实时数值与报警状态显示到屏幕，验证本地显示链路。</t>
  </si>
  <si>
    <t>结合系统方案梳理报警联动逻辑：浓度超阈值时声光报警，联动电磁阀、排风扇与断电控制。</t>
  </si>
  <si>
    <t>编写报警状态机核心逻辑，为第三周联动控制联调奠定基础。</t>
  </si>
  <si>
    <t>第二周总结与下周计划</t>
  </si>
  <si>
    <t>整理第二周成果：完成硬件选型采购与测试环境搭建，掌握传感器数据读取，打通云平台与大模型API链路。</t>
  </si>
  <si>
    <t>规划第三周：完善本地报警状态机与联动控制，开发APP/Web端看板，推进云端存储与告警推送。</t>
  </si>
  <si>
    <t>下周工作安排</t>
  </si>
  <si>
    <t>完善本地端报警状态机与联动控制代码，实现电磁阀、排风扇、断电等控制指令的联调。</t>
  </si>
  <si>
    <t>开发APP/Web端实时看板与历史记录查询功能，完善云端数据存储与告警推送。</t>
  </si>
  <si>
    <t>持续优化大模型趋势分析模块，推进系统整体联调与测试。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</si>
  <si>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</si>
  <si>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</si>
  <si>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</si>
  <si>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</si>
  <si>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</si>
  <si>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</si>
  <si>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</si>
  <si>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</si>
  <si>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</si>
  <si>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</si>
  <si>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</si>
  <si>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</si>
  <si>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曾祥辉</t>
  </si>
  <si>
    <t>摘要</t>
  </si>
  <si>
    <t>多传感器采集程序完善</t>
  </si>
  <si>
    <t>详细工作内容</t>
  </si>
  <si>
    <t>完善传感器数据采集程序，统一多路传感器数据格式，实现多源数据的轮询采集与融合处理。</t>
  </si>
  <si>
    <t>定义统一数据接口与数据结构，为后续云端上报和本地判断提供标准输入。</t>
  </si>
  <si>
    <t xml:space="preserve">              </t>
  </si>
  <si>
    <t>数据滤波与阈值标定</t>
  </si>
  <si>
    <t>编写滑动平均滤波程序，对传感器原始数据进行平滑处理，抑制噪声与瞬时波动干扰。</t>
  </si>
  <si>
    <t>结合开题报告要求，实测标定燃气、烟雾、温度、火焰传感器报警阈值。</t>
  </si>
  <si>
    <t>LCD显示程序实现与调试</t>
  </si>
  <si>
    <t>实现LCD显示程序，实时展示各传感器数值、设备工作状态与报警提示信息。</t>
  </si>
  <si>
    <t>调试字符显示与刷新逻辑，验证屏幕信息与实际采集数据一致。</t>
  </si>
  <si>
    <t>报警联动控制代码实现</t>
  </si>
  <si>
    <t>依据报警联动逻辑编写控制代码，实现声光报警、电磁阀关闭、排风扇启动与断电控制输出。</t>
  </si>
  <si>
    <t>完成控制输出引脚配置与驱动函数编写，为联动控制联调做好准备。</t>
  </si>
  <si>
    <t>本地端功能自测与修复</t>
  </si>
  <si>
    <t>设计测试用例对本地端功能进行自测：传感器数据读取、阈值判断、状态切换与控制输出。</t>
  </si>
  <si>
    <t>记录测试中发现的问题并修复，验证本地端独立运行稳定性。</t>
  </si>
  <si>
    <t>边界与异常场景测试</t>
  </si>
  <si>
    <t>针对浓度临界值、传感器掉线、数据异常等边界场景进行测试，完善容错处理逻辑。</t>
  </si>
  <si>
    <t>模拟断网环境验证本地端独立判断与报警功能，确认断网时系统仍可正常工作。</t>
  </si>
  <si>
    <t>第三周总结与下周计划</t>
  </si>
  <si>
    <t>整理第三周成果：完成多传感器数据融合、滤波标定、LCD显示、联动控制代码与本地自测。</t>
  </si>
  <si>
    <t>规划第四周：开展执行机构联动联调、云端数据上报完善与看板框架搭建。</t>
  </si>
  <si>
    <t>下周工作安排</t>
  </si>
  <si>
    <t>完成本地端与电磁阀、排风扇、声光报警等执行机构的联动控制联调与泄漏场景模拟测试。</t>
  </si>
  <si>
    <t>完善云端数据上报与历史数据存储，测试断线重连与数据完整性。</t>
  </si>
  <si>
    <t>搭建APP/Web端实时看板框架，设计实时数据与报警记录展示页面。</t>
  </si>
  <si>
    <t>实习周报（第4周）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</si>
  <si>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</si>
  <si>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</si>
  <si>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</si>
  <si>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</si>
  <si>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</si>
  <si>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</si>
  <si>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</si>
  <si>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</si>
  <si>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</si>
  <si>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</si>
  <si>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</si>
  <si>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</si>
  <si>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曾祥辉</t>
  </si>
  <si>
    <t>摘要</t>
  </si>
  <si>
    <t>执行机构联动控制联调</t>
  </si>
  <si>
    <t>详细工作内容</t>
  </si>
  <si>
    <t>继电器输出与电磁阀、排风扇、声光报警接线联调，逐一验证各控制指令生效。</t>
  </si>
  <si>
    <t>联调本地报警联动逻辑，确认报警触发时执行机构按预定顺序动作。</t>
  </si>
  <si>
    <t>泄漏场景模拟测试</t>
  </si>
  <si>
    <t>设计低浓度、高浓度与明火三类模拟场景，验证报警、联动与恢复全流程。</t>
  </si>
  <si>
    <t>记录联动响应时间与测试数据，针对异常反馈优化控制时序与去抖逻辑。</t>
  </si>
  <si>
    <t>云端设备接入与数据上报</t>
  </si>
  <si>
    <t>在云平台创建设备模型与数据点，完成设备接入鉴权与属性定义。</t>
  </si>
  <si>
    <t>实现传感器数据定时上报，云端接收验证，确认上报链路稳定。</t>
  </si>
  <si>
    <t>历史数据存储与断线重连</t>
  </si>
  <si>
    <t>完善云端历史数据存储结构，支持按时间区间查询传感器数据。</t>
  </si>
  <si>
    <t>实现本地缓存与断线重连、补传机制，保障网络异常时数据不丢失。</t>
  </si>
  <si>
    <t>云端指令下发与远程控制</t>
  </si>
  <si>
    <t>实现云平台向设备下发控制指令，完成远程报警确认与手动控制。</t>
  </si>
  <si>
    <t>联调远程指令执行链路，验证指令到达、执行与状态回传一致。</t>
  </si>
  <si>
    <t>看板框架搭建</t>
  </si>
  <si>
    <t>搭建数据看板页面框架，规划实时数据、历史曲线与报警记录模块。</t>
  </si>
  <si>
    <t>对接实时数据接口，看板可动态展示各传感器当前数值与设备状态。</t>
  </si>
  <si>
    <t>第四周总结与下周计划</t>
  </si>
  <si>
    <t>总结第四周：完成联动联调、泄漏场景测试、云端上报、远程控制与看板框架。</t>
  </si>
  <si>
    <t>规划第五周：完善看板可视化、接入大模型智能分析、开展系统整体测试。</t>
  </si>
  <si>
    <t>下周工作安排</t>
  </si>
  <si>
    <t>完善看板功能，实现历史数据可视化与报警记录查询。</t>
  </si>
  <si>
    <t>接入大模型API，实现数据智能分析与异常预警判断。</t>
  </si>
  <si>
    <t>开展系统整体联调测试，整理测试记录与验收材料。</t>
  </si>
  <si>
    <t>实习周报（第5周）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</si>
  <si>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</si>
  <si>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</si>
  <si>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</si>
  <si>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</si>
  <si>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</si>
  <si>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</si>
  <si>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</si>
  <si>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>星期</t>
  </si>
  <si>
    <t>实习地点</t>
  </si>
  <si>
    <t>(默认值设定)</t>
  </si>
  <si>
    <t>(HH:MM)</t>
  </si>
  <si>
    <t>实习人</t>
  </si>
  <si>
    <t>曾祥辉</t>
  </si>
  <si>
    <t>摘要</t>
  </si>
  <si>
    <t>看板功能完善与历史数据可视化</t>
  </si>
  <si>
    <t>详细工作内容</t>
  </si>
  <si>
    <t>完善看板历史数据曲线展示，支持按时间区间查询与图表切换。</t>
  </si>
  <si>
    <t>实现报警记录列表与详情展示，按类型、时间筛选历史报警。</t>
  </si>
  <si>
    <t>大模型API接入与调试</t>
  </si>
  <si>
    <t>对接大模型API，完成接口鉴权与请求参数封装，实现数据智能分析。</t>
  </si>
  <si>
    <t>调试大模型返回结果解析与展示，验证燃气浓度趋势分析功能。</t>
  </si>
  <si>
    <t>智能分析与异常预警实现</t>
  </si>
  <si>
    <t>基于历史数据实现趋势预测与异常检测，输出风险等级判断。</t>
  </si>
  <si>
    <t>融合大模型分析结果与本地阈值判断，完善多级预警机制。</t>
  </si>
  <si>
    <t>系统功能联调</t>
  </si>
  <si>
    <t>打通硬件、本地端、云端与看板全链路数据流与控制流。</t>
  </si>
  <si>
    <t>联调远程控制、报警推送与看板展示，确认各端状态同步一致。</t>
  </si>
  <si>
    <t>系统整体测试</t>
  </si>
  <si>
    <t>设计测试用例覆盖正常、报警、断网、远程控制等场景开展整体测试。</t>
  </si>
  <si>
    <t>记录测试结果，定位并修复联调中发现的问题。</t>
  </si>
  <si>
    <t>稳定性与容错测试</t>
  </si>
  <si>
    <t>连续运行测试系统稳定性，监测长时间运行下的数据与内存表现。</t>
  </si>
  <si>
    <t>测试断电重启、网络恢复等异常场景下的系统自恢复能力。</t>
  </si>
  <si>
    <t>第五周总结与下周计划</t>
  </si>
  <si>
    <t>总结第五周：完成看板可视化、大模型智能分析与系统整体测试。</t>
  </si>
  <si>
    <t>规划第六周：完成测试报告与设计文档，进行成果演示与实习总结。</t>
  </si>
  <si>
    <t>下周工作安排</t>
  </si>
  <si>
    <t>完成系统整体回归测试与性能稳定性测试，修复遗留问题。</t>
  </si>
  <si>
    <t>整理测试报告、设计文档与演示材料，准备结题汇报。</t>
  </si>
  <si>
    <t>总结实习成果，完成实习日志与答辩材料。</t>
  </si>
  <si>
    <t>实习周报（第6周）</t>
  </si>
  <si>
    <t>实习日志</t>
  </si>
  <si>
    <t>家庭厨房燃气泄漏与火灾报警系统设计</t>
  </si>
  <si>
    <t>实习期间</t>
  </si>
  <si>
    <t>FROM</t>
  </si>
  <si>
    <t>TO</t>
  </si>
  <si>
    <t>实习时间</t>
  </si>
  <si>
    <t>日期</t>
  </si>
  <si>
    <t/>
  </si>
  <si>
    <t>星期</t>
  </si>
  <si>
    <t>实习地点</t>
  </si>
  <si>
    <t>(默认值设定)</t>
  </si>
  <si>
    <t>(HH:MM)</t>
  </si>
  <si>
    <t>实习人</t>
  </si>
  <si>
    <t>曾祥辉</t>
  </si>
  <si>
    <t>摘要</t>
  </si>
  <si>
    <t>系统功能回归测试</t>
  </si>
  <si>
    <t>详细工作内容</t>
  </si>
  <si>
    <t>对传感器采集、报警联动、云端上报、远程控制等全部功能开展回归测试。</t>
  </si>
  <si>
    <t>核对测试用例覆盖情况，修复遗留缺陷并复测确认。</t>
  </si>
  <si>
    <t>性能与稳定性测试</t>
  </si>
  <si>
    <t>测试系统响应时间与数据上报频率，评估多场景下性能表现。</t>
  </si>
  <si>
    <t>连续运行验证系统稳定性，优化资源占用与运行效率。</t>
  </si>
  <si>
    <t>测试报告与设计文档整理</t>
  </si>
  <si>
    <t>整理测试用例与测试记录，编写系统测试报告。</t>
  </si>
  <si>
    <t>完善系统设计文档，梳理总体方案、模块设计与实现细节。</t>
  </si>
  <si>
    <t>系统演示与验收准备</t>
  </si>
  <si>
    <t>准备系统演示环境与演示流程，验证各功能演示脚本。</t>
  </si>
  <si>
    <t>整理成果材料，制作结题汇报PPT与答辩提纲。</t>
  </si>
  <si>
    <t>实习总结与成果汇报</t>
  </si>
  <si>
    <t>总结六周实习工作，梳理系统成果与个人收获。</t>
  </si>
  <si>
    <t>完成实习日志与成果汇报，提交全部结题材料。</t>
  </si>
  <si>
    <t>下周工作安排</t>
  </si>
  <si>
    <t>整理提交实习日志、测试报告与设计文档等全部结题材料。</t>
  </si>
  <si>
    <t>总结六周实习收获，完成成果汇报与实习答辩。</t>
  </si>
  <si>
    <t>收尾整理开发板与实验器材，归档项目资料。</t>
  </si>
  <si>
    <t>校外实习</t>
    <phoneticPr fontId="5" type="noConversion"/>
  </si>
  <si>
    <t>校外实习</t>
    <phoneticPr fontId="5" type="noConversion"/>
  </si>
  <si>
    <t>实习周报（第3周）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</si>
</sst>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m/d/yyyy"/>
    <numFmt numFmtId="177" formatCode="[$-409]h:mm"/>
  </numFmts>
  <fonts count="6">
    <font>
      <sz val="11"/>
      <color theme="1"/>
      <name val="等线"/>
      <family val="2"/>
      <scheme val="minor"/>
    </font>
    <font>
      <b/>
      <u/>
      <sz val="12"/>
      <color rgb="FF000000"/>
      <name val="宋体"/>
      <family val="2"/>
    </font>
    <font>
      <sz val="11"/>
      <color rgb="FF000000"/>
      <name val="ＭＳ Ｐゴシック"/>
      <family val="2"/>
    </font>
    <font>
      <b/>
      <u/>
      <sz val="10"/>
      <color rgb="FF000000"/>
      <name val="宋体"/>
      <family val="2"/>
    </font>
    <font>
      <sz val="10"/>
      <color rgb="FF000000"/>
      <name val="宋体"/>
      <family val="2"/>
    </font>
    <font>
      <sz val="9"/>
      <name val="等线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14">
    <xf numFmtId="0" fontId="0" fillId="0" borderId="0" xfId="0" applyAlignment="1">
      <alignment vertical="center"/>
    </xf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76" fontId="4" fillId="3" borderId="0" xfId="0" applyNumberFormat="1" applyFont="1" applyFill="1" applyAlignment="1">
      <alignment vertical="center"/>
    </xf>
    <xf numFmtId="176" fontId="4" fillId="2" borderId="0" xfId="0" applyNumberFormat="1" applyFont="1" applyFill="1" applyAlignment="1">
      <alignment vertical="center"/>
    </xf>
    <xf numFmtId="176" fontId="4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wrapText="1"/>
    </xf>
    <xf numFmtId="177" fontId="4" fillId="0" borderId="0" xfId="0" applyNumberFormat="1" applyFont="1"/>
    <xf numFmtId="0" fontId="4" fillId="2" borderId="0" xfId="0" applyFont="1" applyFill="1" applyAlignment="1">
      <alignment horizontal="left" vertical="center"/>
    </xf>
    <xf numFmtId="0" fontId="3" fillId="5" borderId="0" xfId="0" applyFont="1" applyFill="1"/>
    <xf numFmtId="0" fontId="4" fillId="6" borderId="0" xfId="0" applyFont="1" applyFill="1" applyAlignment="1">
      <alignment vertical="center"/>
    </xf>
    <xf numFmtId="0" fontId="4" fillId="6" borderId="0" xfId="0" applyFont="1" applyFill="1" applyAlignment="1">
      <alignment horizontal="center" vertical="center"/>
    </xf>
    <xf numFmtId="176" fontId="4" fillId="7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176" fontId="4" fillId="6" borderId="0" xfId="0" applyNumberFormat="1" applyFont="1" applyFill="1" applyAlignment="1">
      <alignment vertical="center"/>
    </xf>
    <xf numFmtId="176" fontId="4" fillId="5" borderId="0" xfId="0" applyNumberFormat="1" applyFont="1" applyFill="1" applyAlignment="1">
      <alignment vertical="center"/>
    </xf>
    <xf numFmtId="0" fontId="4" fillId="5" borderId="0" xfId="0" applyNumberFormat="1" applyFont="1" applyFill="1" applyAlignment="1">
      <alignment vertical="center"/>
    </xf>
    <xf numFmtId="176" fontId="4" fillId="7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77" fontId="4" fillId="5" borderId="0" xfId="0" applyNumberFormat="1" applyFont="1" applyFill="1" applyAlignment="1">
      <alignment horizontal="center" vertical="center"/>
    </xf>
    <xf numFmtId="0" fontId="3" fillId="8" borderId="0" xfId="0" applyFont="1" applyFill="1"/>
    <xf numFmtId="0" fontId="4" fillId="9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/>
    </xf>
    <xf numFmtId="176" fontId="4" fillId="10" borderId="0" xfId="0" applyNumberFormat="1" applyFont="1" applyFill="1" applyAlignment="1">
      <alignment vertical="center"/>
    </xf>
    <xf numFmtId="0" fontId="4" fillId="8" borderId="0" xfId="0" applyFont="1" applyFill="1" applyAlignment="1">
      <alignment vertical="center"/>
    </xf>
    <xf numFmtId="176" fontId="4" fillId="9" borderId="0" xfId="0" applyNumberFormat="1" applyFont="1" applyFill="1" applyAlignment="1">
      <alignment vertical="center"/>
    </xf>
    <xf numFmtId="176" fontId="4" fillId="8" borderId="0" xfId="0" applyNumberFormat="1" applyFont="1" applyFill="1" applyAlignment="1">
      <alignment vertical="center"/>
    </xf>
    <xf numFmtId="176" fontId="4" fillId="10" borderId="0" xfId="0" applyNumberFormat="1" applyFont="1" applyFill="1" applyAlignment="1">
      <alignment horizontal="center" vertical="center"/>
    </xf>
    <xf numFmtId="49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77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3" fillId="11" borderId="0" xfId="0" applyFont="1" applyFill="1"/>
    <xf numFmtId="0" fontId="4" fillId="12" borderId="0" xfId="0" applyFont="1" applyFill="1" applyAlignment="1">
      <alignment vertical="center"/>
    </xf>
    <xf numFmtId="0" fontId="4" fillId="12" borderId="0" xfId="0" applyFont="1" applyFill="1" applyAlignment="1">
      <alignment horizontal="center" vertical="center"/>
    </xf>
    <xf numFmtId="176" fontId="4" fillId="13" borderId="0" xfId="0" applyNumberFormat="1" applyFont="1" applyFill="1" applyAlignment="1">
      <alignment vertical="center"/>
    </xf>
    <xf numFmtId="0" fontId="4" fillId="11" borderId="0" xfId="0" applyFont="1" applyFill="1" applyAlignment="1">
      <alignment vertical="center"/>
    </xf>
    <xf numFmtId="176" fontId="4" fillId="12" borderId="0" xfId="0" applyNumberFormat="1" applyFont="1" applyFill="1" applyAlignment="1">
      <alignment vertical="center"/>
    </xf>
    <xf numFmtId="176" fontId="4" fillId="11" borderId="0" xfId="0" applyNumberFormat="1" applyFont="1" applyFill="1" applyAlignment="1">
      <alignment vertical="center"/>
    </xf>
    <xf numFmtId="176" fontId="4" fillId="13" borderId="0" xfId="0" applyNumberFormat="1" applyFont="1" applyFill="1" applyAlignment="1">
      <alignment horizontal="center" vertical="center"/>
    </xf>
    <xf numFmtId="49" fontId="4" fillId="11" borderId="0" xfId="0" applyNumberFormat="1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177" fontId="4" fillId="11" borderId="0" xfId="0" applyNumberFormat="1" applyFont="1" applyFill="1" applyAlignment="1">
      <alignment horizontal="center" vertical="center"/>
    </xf>
    <xf numFmtId="0" fontId="3" fillId="14" borderId="0" xfId="0" applyFont="1" applyFill="1"/>
    <xf numFmtId="0" fontId="4" fillId="15" borderId="0" xfId="0" applyFont="1" applyFill="1" applyAlignment="1">
      <alignment vertical="center"/>
    </xf>
    <xf numFmtId="0" fontId="4" fillId="15" borderId="0" xfId="0" applyFont="1" applyFill="1" applyAlignment="1">
      <alignment horizontal="center" vertical="center"/>
    </xf>
    <xf numFmtId="176" fontId="4" fillId="16" borderId="0" xfId="0" applyNumberFormat="1" applyFont="1" applyFill="1" applyAlignment="1">
      <alignment vertical="center"/>
    </xf>
    <xf numFmtId="0" fontId="4" fillId="14" borderId="0" xfId="0" applyFont="1" applyFill="1" applyAlignment="1">
      <alignment vertical="center"/>
    </xf>
    <xf numFmtId="176" fontId="4" fillId="15" borderId="0" xfId="0" applyNumberFormat="1" applyFont="1" applyFill="1" applyAlignment="1">
      <alignment vertical="center"/>
    </xf>
    <xf numFmtId="176" fontId="4" fillId="14" borderId="0" xfId="0" applyNumberFormat="1" applyFont="1" applyFill="1" applyAlignment="1">
      <alignment vertical="center"/>
    </xf>
    <xf numFmtId="176" fontId="4" fillId="16" borderId="0" xfId="0" applyNumberFormat="1" applyFont="1" applyFill="1" applyAlignment="1">
      <alignment horizontal="center" vertical="center"/>
    </xf>
    <xf numFmtId="49" fontId="4" fillId="14" borderId="0" xfId="0" applyNumberFormat="1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177" fontId="4" fillId="14" borderId="0" xfId="0" applyNumberFormat="1" applyFont="1" applyFill="1" applyAlignment="1">
      <alignment horizontal="center" vertical="center"/>
    </xf>
    <xf numFmtId="0" fontId="3" fillId="17" borderId="0" xfId="0" applyFont="1" applyFill="1"/>
    <xf numFmtId="0" fontId="4" fillId="18" borderId="0" xfId="0" applyFont="1" applyFill="1" applyAlignment="1">
      <alignment vertical="center"/>
    </xf>
    <xf numFmtId="0" fontId="4" fillId="18" borderId="0" xfId="0" applyFont="1" applyFill="1" applyAlignment="1">
      <alignment horizontal="center" vertical="center"/>
    </xf>
    <xf numFmtId="176" fontId="4" fillId="19" borderId="0" xfId="0" applyNumberFormat="1" applyFont="1" applyFill="1" applyAlignment="1">
      <alignment vertical="center"/>
    </xf>
    <xf numFmtId="0" fontId="4" fillId="17" borderId="0" xfId="0" applyFont="1" applyFill="1" applyAlignment="1">
      <alignment vertical="center"/>
    </xf>
    <xf numFmtId="176" fontId="4" fillId="18" borderId="0" xfId="0" applyNumberFormat="1" applyFont="1" applyFill="1" applyAlignment="1">
      <alignment vertical="center"/>
    </xf>
    <xf numFmtId="176" fontId="4" fillId="17" borderId="0" xfId="0" applyNumberFormat="1" applyFont="1" applyFill="1" applyAlignment="1">
      <alignment vertical="center"/>
    </xf>
    <xf numFmtId="176" fontId="4" fillId="19" borderId="0" xfId="0" applyNumberFormat="1" applyFont="1" applyFill="1" applyAlignment="1">
      <alignment horizontal="center" vertical="center"/>
    </xf>
    <xf numFmtId="49" fontId="4" fillId="17" borderId="0" xfId="0" applyNumberFormat="1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177" fontId="4" fillId="17" borderId="0" xfId="0" applyNumberFormat="1" applyFont="1" applyFill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2" fillId="0" borderId="0" xfId="0" applyFont="1"/>
    <xf numFmtId="0" fontId="4" fillId="17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18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left" vertical="center"/>
    </xf>
    <xf numFmtId="0" fontId="1" fillId="17" borderId="0" xfId="0" applyFont="1" applyFill="1"/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/>
    </xf>
    <xf numFmtId="0" fontId="1" fillId="2" borderId="0" xfId="0" applyFont="1" applyFill="1"/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1" fillId="5" borderId="0" xfId="0" applyFont="1" applyFill="1"/>
    <xf numFmtId="0" fontId="4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9" borderId="0" xfId="0" applyFont="1" applyFill="1" applyAlignment="1">
      <alignment horizontal="left" vertical="center"/>
    </xf>
    <xf numFmtId="0" fontId="1" fillId="8" borderId="0" xfId="0" applyFont="1" applyFill="1"/>
    <xf numFmtId="0" fontId="4" fillId="11" borderId="0" xfId="0" applyFont="1" applyFill="1" applyAlignment="1">
      <alignment horizontal="left" vertical="center"/>
    </xf>
    <xf numFmtId="0" fontId="4" fillId="12" borderId="0" xfId="0" applyFont="1" applyFill="1" applyAlignment="1">
      <alignment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left" vertical="center"/>
    </xf>
    <xf numFmtId="0" fontId="1" fillId="11" borderId="0" xfId="0" applyFont="1" applyFill="1"/>
    <xf numFmtId="0" fontId="4" fillId="14" borderId="0" xfId="0" applyFont="1" applyFill="1" applyAlignment="1">
      <alignment horizontal="left" vertical="center"/>
    </xf>
    <xf numFmtId="0" fontId="4" fillId="15" borderId="0" xfId="0" applyFont="1" applyFill="1" applyAlignment="1">
      <alignment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left" vertical="center"/>
    </xf>
    <xf numFmtId="0" fontId="1" fillId="14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04BD-624B-4700-AE9B-8F5E8E27A41B}">
  <sheetPr>
    <outlinePr summaryBelow="0" summaryRight="0"/>
  </sheetPr>
  <dimension ref="A1:T200"/>
  <sheetViews>
    <sheetView showGridLines="0" topLeftCell="A25" workbookViewId="0">
      <selection activeCell="O21" sqref="O21"/>
    </sheetView>
  </sheetViews>
  <sheetFormatPr defaultRowHeight="14"/>
  <cols>
    <col min="1" max="1" width="14" customWidth="1"/>
    <col min="2" max="2" width="9" customWidth="1"/>
    <col min="3" max="3" width="9.4140625" customWidth="1"/>
    <col min="4" max="4" width="10.5" customWidth="1"/>
    <col min="5" max="9" width="9.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90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2"/>
      <c r="B2" s="2"/>
      <c r="C2" s="2"/>
      <c r="D2" s="2"/>
      <c r="E2" s="2"/>
      <c r="F2" s="2"/>
      <c r="G2" s="2"/>
      <c r="H2" s="2"/>
      <c r="I2" s="2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5" t="s">
        <v>1</v>
      </c>
      <c r="B3" s="75" t="s">
        <v>2</v>
      </c>
      <c r="C3" s="76"/>
      <c r="D3" s="5" t="s">
        <v>3</v>
      </c>
      <c r="E3" s="6" t="s">
        <v>4</v>
      </c>
      <c r="F3" s="7">
        <f>C4</f>
        <v>46272</v>
      </c>
      <c r="G3" s="6" t="s">
        <v>5</v>
      </c>
      <c r="H3" s="7">
        <v>46278</v>
      </c>
      <c r="I3" s="8"/>
      <c r="J3" s="8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85" t="s">
        <v>6</v>
      </c>
      <c r="B4" s="9" t="s">
        <v>7</v>
      </c>
      <c r="C4" s="10">
        <v>46272</v>
      </c>
      <c r="D4" s="10">
        <v>46273</v>
      </c>
      <c r="E4" s="10">
        <v>46274</v>
      </c>
      <c r="F4" s="10">
        <v>46275</v>
      </c>
      <c r="G4" s="10">
        <v>46276</v>
      </c>
      <c r="H4" s="10">
        <v>46277</v>
      </c>
      <c r="I4" s="10">
        <v>46278</v>
      </c>
      <c r="J4" s="8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9" t="s">
        <v>8</v>
      </c>
      <c r="C5" s="11" t="str">
        <f t="shared" ref="C5:I5" si="0">IF(C4="","",TEXT(C4,"aaa"))</f>
        <v>一</v>
      </c>
      <c r="D5" s="11" t="str">
        <f t="shared" si="0"/>
        <v>二</v>
      </c>
      <c r="E5" s="11" t="str">
        <f t="shared" si="0"/>
        <v>三</v>
      </c>
      <c r="F5" s="11" t="str">
        <f t="shared" si="0"/>
        <v>四</v>
      </c>
      <c r="G5" s="11" t="str">
        <f t="shared" si="0"/>
        <v>五</v>
      </c>
      <c r="H5" s="11" t="str">
        <f t="shared" si="0"/>
        <v>六</v>
      </c>
      <c r="I5" s="11" t="str">
        <f t="shared" si="0"/>
        <v>日</v>
      </c>
      <c r="J5" s="8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5" t="s">
        <v>9</v>
      </c>
      <c r="C6" s="12" t="s">
        <v>252</v>
      </c>
      <c r="D6" s="12" t="s">
        <v>252</v>
      </c>
      <c r="E6" s="12" t="s">
        <v>252</v>
      </c>
      <c r="F6" s="12" t="s">
        <v>252</v>
      </c>
      <c r="G6" s="12" t="s">
        <v>252</v>
      </c>
      <c r="H6" s="12" t="s">
        <v>252</v>
      </c>
      <c r="I6" s="12" t="s">
        <v>252</v>
      </c>
      <c r="J6" s="13"/>
      <c r="K6" s="4" t="s">
        <v>10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5" t="s">
        <v>4</v>
      </c>
      <c r="C7" s="14">
        <v>0.35416666666666669</v>
      </c>
      <c r="D7" s="14">
        <v>0.35416666666666669</v>
      </c>
      <c r="E7" s="14">
        <v>0.35416666666666669</v>
      </c>
      <c r="F7" s="14">
        <v>0.35416666666666669</v>
      </c>
      <c r="G7" s="14">
        <v>0.35416666666666669</v>
      </c>
      <c r="H7" s="14">
        <v>0.35416666666666669</v>
      </c>
      <c r="I7" s="14">
        <v>0.35416666666666669</v>
      </c>
      <c r="J7" s="86" t="s">
        <v>11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5" t="s">
        <v>5</v>
      </c>
      <c r="C8" s="14">
        <v>0.47916666666666669</v>
      </c>
      <c r="D8" s="14">
        <v>0.72916666666666663</v>
      </c>
      <c r="E8" s="14">
        <v>0.72916666666666663</v>
      </c>
      <c r="F8" s="14">
        <v>0.72916666666666663</v>
      </c>
      <c r="G8" s="14">
        <v>0.72916666666666663</v>
      </c>
      <c r="H8" s="14">
        <v>0.72916666666666663</v>
      </c>
      <c r="I8" s="14">
        <v>0.72916666666666663</v>
      </c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5" t="s">
        <v>12</v>
      </c>
      <c r="B9" s="80" t="s">
        <v>13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11">
        <f>IF(C4="","",C4)</f>
        <v>46272</v>
      </c>
      <c r="B10" s="6" t="s">
        <v>14</v>
      </c>
      <c r="C10" s="78" t="s">
        <v>15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6" t="s">
        <v>16</v>
      </c>
      <c r="B11" s="84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84" t="s">
        <v>17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84" t="s">
        <v>18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84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84"/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11">
        <f>IF(D4="","",D4)</f>
        <v>46273</v>
      </c>
      <c r="B17" s="6" t="s">
        <v>14</v>
      </c>
      <c r="C17" s="78" t="s">
        <v>19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6" t="s">
        <v>16</v>
      </c>
      <c r="B18" s="84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84" t="s">
        <v>20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84" t="s">
        <v>21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84" t="s">
        <v>22</v>
      </c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84"/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84" t="s">
        <v>23</v>
      </c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11">
        <f>IF(E4="","",E4)</f>
        <v>46274</v>
      </c>
      <c r="B24" s="6" t="s">
        <v>14</v>
      </c>
      <c r="C24" s="78" t="s">
        <v>24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6" t="s">
        <v>16</v>
      </c>
      <c r="B25" s="84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" customHeight="1">
      <c r="A26" s="84" t="s">
        <v>25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89" t="s">
        <v>26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" customHeight="1">
      <c r="A28" s="84" t="s">
        <v>27</v>
      </c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" customHeight="1">
      <c r="A29" s="86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84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11">
        <f>IF(F4="","",F4)</f>
        <v>46275</v>
      </c>
      <c r="B31" s="6" t="s">
        <v>14</v>
      </c>
      <c r="C31" s="78" t="s">
        <v>28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6" t="s">
        <v>16</v>
      </c>
      <c r="B32" s="88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89" t="s">
        <v>29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84" t="s">
        <v>30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84" t="s">
        <v>31</v>
      </c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86" t="s">
        <v>32</v>
      </c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ht="12" customHeight="1">
      <c r="A38" s="11">
        <f>IF(G4="","",G4)</f>
        <v>46276</v>
      </c>
      <c r="B38" s="6" t="s">
        <v>14</v>
      </c>
      <c r="C38" s="78" t="s">
        <v>33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6" t="s">
        <v>16</v>
      </c>
      <c r="B39" s="88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84" t="s">
        <v>34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84" t="s">
        <v>35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84" t="s">
        <v>36</v>
      </c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84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84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11">
        <f>IF(H4="","",H4)</f>
        <v>46277</v>
      </c>
      <c r="B45" s="6" t="s">
        <v>14</v>
      </c>
      <c r="C45" s="78" t="s">
        <v>37</v>
      </c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6" t="s">
        <v>16</v>
      </c>
      <c r="B46" s="84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84" t="s">
        <v>38</v>
      </c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84" t="s">
        <v>39</v>
      </c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84" t="s">
        <v>40</v>
      </c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84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84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11">
        <f>IF(I4="","",I4)</f>
        <v>46278</v>
      </c>
      <c r="B52" s="6" t="s">
        <v>14</v>
      </c>
      <c r="C52" s="78" t="s">
        <v>41</v>
      </c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6" t="s">
        <v>16</v>
      </c>
      <c r="B53" s="84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84" t="s">
        <v>42</v>
      </c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84" t="s">
        <v>43</v>
      </c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84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84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84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87" t="s">
        <v>44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84" t="s">
        <v>45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84" t="s">
        <v>46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84" t="s">
        <v>47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84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58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B46:J46"/>
    <mergeCell ref="A56:J56"/>
    <mergeCell ref="A27:J27"/>
    <mergeCell ref="C38:J38"/>
    <mergeCell ref="A21:J21"/>
    <mergeCell ref="A55:J55"/>
    <mergeCell ref="A64:J64"/>
    <mergeCell ref="C31:J31"/>
    <mergeCell ref="A60:J60"/>
    <mergeCell ref="A49:J49"/>
    <mergeCell ref="A51:J51"/>
    <mergeCell ref="A50:J50"/>
    <mergeCell ref="A57:J57"/>
    <mergeCell ref="B39:J39"/>
    <mergeCell ref="A42:J42"/>
    <mergeCell ref="A33:J33"/>
    <mergeCell ref="A63:J63"/>
    <mergeCell ref="A58:J58"/>
    <mergeCell ref="A40:J40"/>
    <mergeCell ref="C10:J10"/>
    <mergeCell ref="A30:J30"/>
    <mergeCell ref="A34:J34"/>
    <mergeCell ref="A59:J59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CF49-BA56-45C8-8B70-E40FD4DC5772}">
  <sheetPr>
    <outlinePr summaryBelow="0" summaryRight="0"/>
  </sheetPr>
  <dimension ref="A1:T200"/>
  <sheetViews>
    <sheetView showGridLines="0" workbookViewId="0">
      <selection activeCell="A15" sqref="A15:J15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96" t="s">
        <v>48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18"/>
      <c r="B2" s="18"/>
      <c r="C2" s="18"/>
      <c r="D2" s="18"/>
      <c r="E2" s="18"/>
      <c r="F2" s="18"/>
      <c r="G2" s="18"/>
      <c r="H2" s="18"/>
      <c r="I2" s="18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19" t="s">
        <v>49</v>
      </c>
      <c r="B3" s="75" t="s">
        <v>50</v>
      </c>
      <c r="C3" s="76"/>
      <c r="D3" s="19" t="s">
        <v>51</v>
      </c>
      <c r="E3" s="20" t="s">
        <v>52</v>
      </c>
      <c r="F3" s="21">
        <f>C4</f>
        <v>46279</v>
      </c>
      <c r="G3" s="20" t="s">
        <v>53</v>
      </c>
      <c r="H3" s="21">
        <v>46285</v>
      </c>
      <c r="I3" s="22"/>
      <c r="J3" s="22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92" t="s">
        <v>54</v>
      </c>
      <c r="B4" s="23" t="s">
        <v>55</v>
      </c>
      <c r="C4" s="24">
        <v>46279</v>
      </c>
      <c r="D4" s="25">
        <v>46280</v>
      </c>
      <c r="E4" s="24">
        <v>46281</v>
      </c>
      <c r="F4" s="24">
        <v>46282</v>
      </c>
      <c r="G4" s="24">
        <v>46283</v>
      </c>
      <c r="H4" s="24">
        <v>46284</v>
      </c>
      <c r="I4" s="24">
        <v>46285</v>
      </c>
      <c r="J4" s="22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23" t="s">
        <v>56</v>
      </c>
      <c r="C5" s="26" t="str">
        <f t="shared" ref="C5:I5" si="0">IF(C4="","",TEXT(C4,"aaa"))</f>
        <v>一</v>
      </c>
      <c r="D5" s="26" t="str">
        <f t="shared" si="0"/>
        <v>二</v>
      </c>
      <c r="E5" s="26" t="str">
        <f t="shared" si="0"/>
        <v>三</v>
      </c>
      <c r="F5" s="26" t="str">
        <f t="shared" si="0"/>
        <v>四</v>
      </c>
      <c r="G5" s="26" t="str">
        <f t="shared" si="0"/>
        <v>五</v>
      </c>
      <c r="H5" s="26" t="str">
        <f t="shared" si="0"/>
        <v>六</v>
      </c>
      <c r="I5" s="26" t="str">
        <f t="shared" si="0"/>
        <v>日</v>
      </c>
      <c r="J5" s="22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19" t="s">
        <v>57</v>
      </c>
      <c r="C6" s="27" t="s">
        <v>252</v>
      </c>
      <c r="D6" s="27" t="s">
        <v>252</v>
      </c>
      <c r="E6" s="27" t="s">
        <v>252</v>
      </c>
      <c r="F6" s="27" t="s">
        <v>252</v>
      </c>
      <c r="G6" s="27" t="s">
        <v>252</v>
      </c>
      <c r="H6" s="27" t="s">
        <v>252</v>
      </c>
      <c r="I6" s="27" t="s">
        <v>252</v>
      </c>
      <c r="J6" s="28"/>
      <c r="K6" s="4" t="s">
        <v>58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19" t="s">
        <v>52</v>
      </c>
      <c r="C7" s="29">
        <v>0.35416666666666669</v>
      </c>
      <c r="D7" s="29">
        <v>0.35416666666666669</v>
      </c>
      <c r="E7" s="29">
        <v>0.35416666666666669</v>
      </c>
      <c r="F7" s="29">
        <v>0.35416666666666669</v>
      </c>
      <c r="G7" s="29">
        <v>0.35416666666666669</v>
      </c>
      <c r="H7" s="29">
        <v>0.35416666666666669</v>
      </c>
      <c r="I7" s="29">
        <v>0.35416666666666669</v>
      </c>
      <c r="J7" s="93" t="s">
        <v>59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19" t="s">
        <v>53</v>
      </c>
      <c r="C8" s="29">
        <v>0.47916666666666669</v>
      </c>
      <c r="D8" s="29">
        <v>0.72916666666666663</v>
      </c>
      <c r="E8" s="29">
        <v>0.72916666666666663</v>
      </c>
      <c r="F8" s="29">
        <v>0.72916666666666663</v>
      </c>
      <c r="G8" s="29">
        <v>0.72916666666666663</v>
      </c>
      <c r="H8" s="29">
        <v>0.72916666666666663</v>
      </c>
      <c r="I8" s="29">
        <v>0.72916666666666663</v>
      </c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19" t="s">
        <v>60</v>
      </c>
      <c r="B9" s="80" t="s">
        <v>61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26">
        <f>IF(C4="","",C4)</f>
        <v>46279</v>
      </c>
      <c r="B10" s="20" t="s">
        <v>62</v>
      </c>
      <c r="C10" s="78" t="s">
        <v>63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20" t="s">
        <v>64</v>
      </c>
      <c r="B11" s="91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91" t="s">
        <v>65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93" t="s">
        <v>66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91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91" t="s">
        <v>67</v>
      </c>
      <c r="B15" s="76"/>
      <c r="C15" s="76"/>
      <c r="D15" s="76"/>
      <c r="E15" s="76"/>
      <c r="F15" s="76"/>
      <c r="G15" s="76"/>
      <c r="H15" s="76"/>
      <c r="I15" s="76"/>
      <c r="J15" s="76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91"/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26">
        <f>IF(D4="","",D4)</f>
        <v>46280</v>
      </c>
      <c r="B17" s="20" t="s">
        <v>62</v>
      </c>
      <c r="C17" s="78" t="s">
        <v>68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20" t="s">
        <v>64</v>
      </c>
      <c r="B18" s="94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91" t="s">
        <v>69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91" t="s">
        <v>70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91" t="s">
        <v>67</v>
      </c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93"/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91"/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26">
        <f>IF(E4="","",E4)</f>
        <v>46281</v>
      </c>
      <c r="B24" s="20" t="s">
        <v>62</v>
      </c>
      <c r="C24" s="78" t="s">
        <v>71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20" t="s">
        <v>64</v>
      </c>
      <c r="B25" s="94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3.25" customHeight="1">
      <c r="A26" s="91" t="s">
        <v>72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91" t="s">
        <v>73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.75" customHeight="1">
      <c r="A28" s="91" t="s">
        <v>67</v>
      </c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.75" customHeight="1">
      <c r="A29" s="93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93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26">
        <f>IF(F4="","",F4)</f>
        <v>46282</v>
      </c>
      <c r="B31" s="20" t="s">
        <v>62</v>
      </c>
      <c r="C31" s="78" t="s">
        <v>74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20" t="s">
        <v>64</v>
      </c>
      <c r="B32" s="94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91" t="s">
        <v>75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91" t="s">
        <v>76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91" t="s">
        <v>77</v>
      </c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93"/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" customHeight="1">
      <c r="A37" s="91"/>
      <c r="B37" s="76"/>
      <c r="C37" s="76"/>
      <c r="D37" s="76"/>
      <c r="E37" s="76"/>
      <c r="F37" s="76"/>
      <c r="G37" s="76"/>
      <c r="H37" s="76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" customHeight="1">
      <c r="A38" s="26">
        <f>IF(G4="","",G4)</f>
        <v>46283</v>
      </c>
      <c r="B38" s="20" t="s">
        <v>62</v>
      </c>
      <c r="C38" s="78" t="s">
        <v>78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20" t="s">
        <v>64</v>
      </c>
      <c r="B39" s="94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91" t="s">
        <v>79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91" t="s">
        <v>80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91"/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91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91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26">
        <f>IF(H4="","",H4)</f>
        <v>46284</v>
      </c>
      <c r="B45" s="20" t="s">
        <v>62</v>
      </c>
      <c r="C45" s="78" t="s">
        <v>81</v>
      </c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20" t="s">
        <v>64</v>
      </c>
      <c r="B46" s="91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91" t="s">
        <v>82</v>
      </c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91" t="s">
        <v>83</v>
      </c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91" t="s">
        <v>84</v>
      </c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91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91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26">
        <f>IF(I4="","",I4)</f>
        <v>46285</v>
      </c>
      <c r="B52" s="20" t="s">
        <v>62</v>
      </c>
      <c r="C52" s="78" t="s">
        <v>85</v>
      </c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20" t="s">
        <v>64</v>
      </c>
      <c r="B53" s="91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91" t="s">
        <v>86</v>
      </c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91" t="s">
        <v>87</v>
      </c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91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91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91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95" t="s">
        <v>88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91" t="s">
        <v>89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91" t="s">
        <v>90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91" t="s">
        <v>91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91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 ht="13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AB28-0B2B-41A7-8996-0DDC712D1B6C}">
  <sheetPr>
    <outlinePr summaryBelow="0" summaryRight="0"/>
  </sheetPr>
  <dimension ref="A1:T200"/>
  <sheetViews>
    <sheetView showGridLines="0" topLeftCell="A4" workbookViewId="0">
      <selection activeCell="K15" sqref="K15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103" t="s">
        <v>253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30"/>
      <c r="B2" s="30"/>
      <c r="C2" s="30"/>
      <c r="D2" s="30"/>
      <c r="E2" s="30"/>
      <c r="F2" s="30"/>
      <c r="G2" s="30"/>
      <c r="H2" s="30"/>
      <c r="I2" s="30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31" t="s">
        <v>92</v>
      </c>
      <c r="B3" s="75" t="s">
        <v>93</v>
      </c>
      <c r="C3" s="76"/>
      <c r="D3" s="31" t="s">
        <v>94</v>
      </c>
      <c r="E3" s="32" t="s">
        <v>95</v>
      </c>
      <c r="F3" s="33">
        <f>C4</f>
        <v>46286</v>
      </c>
      <c r="G3" s="32" t="s">
        <v>96</v>
      </c>
      <c r="H3" s="33">
        <v>46292</v>
      </c>
      <c r="I3" s="34"/>
      <c r="J3" s="34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99" t="s">
        <v>97</v>
      </c>
      <c r="B4" s="35" t="s">
        <v>98</v>
      </c>
      <c r="C4" s="36">
        <v>46286</v>
      </c>
      <c r="D4" s="36">
        <v>46287</v>
      </c>
      <c r="E4" s="36">
        <v>46288</v>
      </c>
      <c r="F4" s="36">
        <v>46289</v>
      </c>
      <c r="G4" s="36">
        <v>46290</v>
      </c>
      <c r="H4" s="36">
        <v>46291</v>
      </c>
      <c r="I4" s="36">
        <v>46292</v>
      </c>
      <c r="J4" s="34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35" t="s">
        <v>99</v>
      </c>
      <c r="C5" s="37" t="str">
        <f t="shared" ref="C5:I5" si="0">IF(C4="","",TEXT(C4,"aaa"))</f>
        <v>一</v>
      </c>
      <c r="D5" s="37" t="str">
        <f t="shared" si="0"/>
        <v>二</v>
      </c>
      <c r="E5" s="37" t="str">
        <f t="shared" si="0"/>
        <v>三</v>
      </c>
      <c r="F5" s="37" t="str">
        <f t="shared" si="0"/>
        <v>四</v>
      </c>
      <c r="G5" s="37" t="str">
        <f t="shared" si="0"/>
        <v>五</v>
      </c>
      <c r="H5" s="37" t="str">
        <f t="shared" si="0"/>
        <v>六</v>
      </c>
      <c r="I5" s="37" t="str">
        <f t="shared" si="0"/>
        <v>日</v>
      </c>
      <c r="J5" s="34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31" t="s">
        <v>100</v>
      </c>
      <c r="C6" s="38" t="s">
        <v>252</v>
      </c>
      <c r="D6" s="38" t="s">
        <v>252</v>
      </c>
      <c r="E6" s="38" t="s">
        <v>252</v>
      </c>
      <c r="F6" s="38" t="s">
        <v>252</v>
      </c>
      <c r="G6" s="38" t="s">
        <v>252</v>
      </c>
      <c r="H6" s="38" t="s">
        <v>252</v>
      </c>
      <c r="I6" s="38" t="s">
        <v>252</v>
      </c>
      <c r="J6" s="39"/>
      <c r="K6" s="4" t="s">
        <v>101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31" t="s">
        <v>95</v>
      </c>
      <c r="C7" s="40">
        <v>0.35416666666666669</v>
      </c>
      <c r="D7" s="40">
        <v>0.35416666666666669</v>
      </c>
      <c r="E7" s="40">
        <v>0.35416666666666669</v>
      </c>
      <c r="F7" s="40">
        <v>0.35416666666666669</v>
      </c>
      <c r="G7" s="40">
        <v>0.35416666666666669</v>
      </c>
      <c r="H7" s="40">
        <v>0.35416666666666669</v>
      </c>
      <c r="I7" s="40">
        <v>0.35416666666666669</v>
      </c>
      <c r="J7" s="100" t="s">
        <v>102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31" t="s">
        <v>96</v>
      </c>
      <c r="C8" s="40">
        <v>0.47916666666666669</v>
      </c>
      <c r="D8" s="40">
        <v>0.72916666666666663</v>
      </c>
      <c r="E8" s="40">
        <v>0.72916666666666663</v>
      </c>
      <c r="F8" s="40">
        <v>0.72916666666666663</v>
      </c>
      <c r="G8" s="40">
        <v>0.72916666666666663</v>
      </c>
      <c r="H8" s="40">
        <v>0.72916666666666663</v>
      </c>
      <c r="I8" s="40">
        <v>0.72916666666666663</v>
      </c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31" t="s">
        <v>103</v>
      </c>
      <c r="B9" s="80" t="s">
        <v>104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37">
        <f>IF(C4="","",C4)</f>
        <v>46286</v>
      </c>
      <c r="B10" s="32" t="s">
        <v>105</v>
      </c>
      <c r="C10" s="78" t="s">
        <v>106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32" t="s">
        <v>107</v>
      </c>
      <c r="B11" s="97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97" t="s">
        <v>108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97" t="s">
        <v>109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97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101"/>
      <c r="B15" s="76"/>
      <c r="C15" s="76"/>
      <c r="D15" s="76"/>
      <c r="E15" s="76"/>
      <c r="F15" s="76"/>
      <c r="G15" s="76"/>
      <c r="H15" s="76"/>
      <c r="I15" s="76"/>
      <c r="J15" s="76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97" t="s">
        <v>110</v>
      </c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37">
        <f>IF(D4="","",D4)</f>
        <v>46287</v>
      </c>
      <c r="B17" s="32" t="s">
        <v>105</v>
      </c>
      <c r="C17" s="78" t="s">
        <v>111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32" t="s">
        <v>107</v>
      </c>
      <c r="B18" s="98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97" t="s">
        <v>112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97" t="s">
        <v>113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97"/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97"/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37">
        <f>IF(E4="","",E4)</f>
        <v>46288</v>
      </c>
      <c r="B24" s="32" t="s">
        <v>105</v>
      </c>
      <c r="C24" s="78" t="s">
        <v>114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32" t="s">
        <v>107</v>
      </c>
      <c r="B25" s="98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" customHeight="1">
      <c r="A26" s="97" t="s">
        <v>115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98" t="s">
        <v>116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" customHeight="1">
      <c r="A28" s="98"/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" customHeight="1">
      <c r="A29" s="97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97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37">
        <f>IF(F4="","",F4)</f>
        <v>46289</v>
      </c>
      <c r="B31" s="32" t="s">
        <v>105</v>
      </c>
      <c r="C31" s="78" t="s">
        <v>117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32" t="s">
        <v>107</v>
      </c>
      <c r="B32" s="98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97" t="s">
        <v>118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97" t="s">
        <v>119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97"/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97"/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" customHeight="1">
      <c r="A37" s="97"/>
      <c r="B37" s="76"/>
      <c r="C37" s="76"/>
      <c r="D37" s="76"/>
      <c r="E37" s="76"/>
      <c r="F37" s="76"/>
      <c r="G37" s="76"/>
      <c r="H37" s="76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" customHeight="1">
      <c r="A38" s="37">
        <f>IF(G4="","",G4)</f>
        <v>46290</v>
      </c>
      <c r="B38" s="32" t="s">
        <v>105</v>
      </c>
      <c r="C38" s="78" t="s">
        <v>120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32" t="s">
        <v>107</v>
      </c>
      <c r="B39" s="98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97" t="s">
        <v>121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97" t="s">
        <v>122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97"/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97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97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37">
        <f>IF(H4="","",H4)</f>
        <v>46291</v>
      </c>
      <c r="B45" s="32" t="s">
        <v>105</v>
      </c>
      <c r="C45" s="78" t="s">
        <v>123</v>
      </c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32" t="s">
        <v>107</v>
      </c>
      <c r="B46" s="97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97" t="s">
        <v>124</v>
      </c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97" t="s">
        <v>125</v>
      </c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97"/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97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97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37">
        <f>IF(I4="","",I4)</f>
        <v>46292</v>
      </c>
      <c r="B52" s="32" t="s">
        <v>105</v>
      </c>
      <c r="C52" s="78" t="s">
        <v>126</v>
      </c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32" t="s">
        <v>107</v>
      </c>
      <c r="B53" s="97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97" t="s">
        <v>127</v>
      </c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97" t="s">
        <v>128</v>
      </c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97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97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97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102" t="s">
        <v>129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97" t="s">
        <v>130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97" t="s">
        <v>131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97" t="s">
        <v>132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97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59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A62:J62"/>
    <mergeCell ref="A48:J48"/>
    <mergeCell ref="A12:J12"/>
    <mergeCell ref="B18:J18"/>
    <mergeCell ref="A26:J26"/>
    <mergeCell ref="C24:J24"/>
    <mergeCell ref="J7:J8"/>
    <mergeCell ref="B11:J11"/>
    <mergeCell ref="C10:J10"/>
    <mergeCell ref="A30:J30"/>
    <mergeCell ref="A34:J34"/>
    <mergeCell ref="A15:J15"/>
    <mergeCell ref="B3:C3"/>
    <mergeCell ref="B53:J53"/>
    <mergeCell ref="C45:J45"/>
    <mergeCell ref="A28:J28"/>
    <mergeCell ref="A13:J13"/>
    <mergeCell ref="A19:J19"/>
    <mergeCell ref="A44:J44"/>
    <mergeCell ref="A47:J47"/>
    <mergeCell ref="A23:J23"/>
    <mergeCell ref="A14:J14"/>
    <mergeCell ref="A4:A8"/>
    <mergeCell ref="A29:J29"/>
    <mergeCell ref="A35:J35"/>
    <mergeCell ref="A20:J20"/>
    <mergeCell ref="A43:J43"/>
    <mergeCell ref="B9:J9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8A1E-3D22-40A4-AECA-1796DBE4AFC4}">
  <sheetPr>
    <outlinePr summaryBelow="0" summaryRight="0"/>
  </sheetPr>
  <dimension ref="A1:T200"/>
  <sheetViews>
    <sheetView showGridLines="0" workbookViewId="0">
      <selection activeCell="A16" sqref="A16:J16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108" t="s">
        <v>133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42"/>
      <c r="B2" s="42"/>
      <c r="C2" s="42"/>
      <c r="D2" s="42"/>
      <c r="E2" s="42"/>
      <c r="F2" s="42"/>
      <c r="G2" s="42"/>
      <c r="H2" s="42"/>
      <c r="I2" s="42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43" t="s">
        <v>134</v>
      </c>
      <c r="B3" s="75" t="s">
        <v>135</v>
      </c>
      <c r="C3" s="76"/>
      <c r="D3" s="43" t="s">
        <v>136</v>
      </c>
      <c r="E3" s="44" t="s">
        <v>137</v>
      </c>
      <c r="F3" s="45">
        <f>C4</f>
        <v>46293</v>
      </c>
      <c r="G3" s="44" t="s">
        <v>138</v>
      </c>
      <c r="H3" s="45">
        <f>I4</f>
        <v>46299</v>
      </c>
      <c r="I3" s="46"/>
      <c r="J3" s="46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105" t="s">
        <v>139</v>
      </c>
      <c r="B4" s="47" t="s">
        <v>140</v>
      </c>
      <c r="C4" s="48">
        <v>46293</v>
      </c>
      <c r="D4" s="48">
        <v>46294</v>
      </c>
      <c r="E4" s="48">
        <v>46295</v>
      </c>
      <c r="F4" s="48">
        <v>46296</v>
      </c>
      <c r="G4" s="48">
        <v>46297</v>
      </c>
      <c r="H4" s="48">
        <v>46298</v>
      </c>
      <c r="I4" s="48">
        <v>46299</v>
      </c>
      <c r="J4" s="46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47" t="s">
        <v>141</v>
      </c>
      <c r="C5" s="49" t="str">
        <f t="shared" ref="C5:I5" si="0">IF(C4="","",TEXT(C4,"aaa"))</f>
        <v>一</v>
      </c>
      <c r="D5" s="49" t="str">
        <f t="shared" si="0"/>
        <v>二</v>
      </c>
      <c r="E5" s="49" t="str">
        <f t="shared" si="0"/>
        <v>三</v>
      </c>
      <c r="F5" s="49" t="str">
        <f t="shared" si="0"/>
        <v>四</v>
      </c>
      <c r="G5" s="49" t="str">
        <f t="shared" si="0"/>
        <v>五</v>
      </c>
      <c r="H5" s="49" t="str">
        <f t="shared" si="0"/>
        <v>六</v>
      </c>
      <c r="I5" s="49" t="str">
        <f t="shared" si="0"/>
        <v>日</v>
      </c>
      <c r="J5" s="46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43" t="s">
        <v>142</v>
      </c>
      <c r="C6" s="50" t="s">
        <v>252</v>
      </c>
      <c r="D6" s="50" t="s">
        <v>252</v>
      </c>
      <c r="E6" s="50" t="s">
        <v>252</v>
      </c>
      <c r="F6" s="50" t="s">
        <v>252</v>
      </c>
      <c r="G6" s="50" t="s">
        <v>252</v>
      </c>
      <c r="H6" s="50" t="s">
        <v>252</v>
      </c>
      <c r="I6" s="50" t="s">
        <v>252</v>
      </c>
      <c r="J6" s="51"/>
      <c r="K6" s="4" t="s">
        <v>143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43" t="s">
        <v>137</v>
      </c>
      <c r="C7" s="52">
        <v>0.35416666666666669</v>
      </c>
      <c r="D7" s="52">
        <v>0.35416666666666669</v>
      </c>
      <c r="E7" s="52">
        <v>0.35416666666666669</v>
      </c>
      <c r="F7" s="52">
        <v>0.35416666666666669</v>
      </c>
      <c r="G7" s="52">
        <v>0.35416666666666669</v>
      </c>
      <c r="H7" s="52">
        <v>0.35416666666666669</v>
      </c>
      <c r="I7" s="52">
        <v>0.35416666666666669</v>
      </c>
      <c r="J7" s="106" t="s">
        <v>144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43" t="s">
        <v>138</v>
      </c>
      <c r="C8" s="52">
        <v>0.47916666666666669</v>
      </c>
      <c r="D8" s="52">
        <v>0.72916666666666663</v>
      </c>
      <c r="E8" s="52">
        <v>0.72916666666666663</v>
      </c>
      <c r="F8" s="52">
        <v>0.72916666666666663</v>
      </c>
      <c r="G8" s="52">
        <v>0.72916666666666663</v>
      </c>
      <c r="H8" s="52">
        <v>0.72916666666666663</v>
      </c>
      <c r="I8" s="52">
        <v>0.72916666666666663</v>
      </c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43" t="s">
        <v>145</v>
      </c>
      <c r="B9" s="80" t="s">
        <v>146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49">
        <f>IF(C4="","",C4)</f>
        <v>46293</v>
      </c>
      <c r="B10" s="44" t="s">
        <v>147</v>
      </c>
      <c r="C10" s="78" t="s">
        <v>148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44" t="s">
        <v>149</v>
      </c>
      <c r="B11" s="104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104" t="s">
        <v>150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104" t="s">
        <v>151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104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104"/>
      <c r="B15" s="76"/>
      <c r="C15" s="76"/>
      <c r="D15" s="76"/>
      <c r="E15" s="76"/>
      <c r="F15" s="76"/>
      <c r="G15" s="76"/>
      <c r="H15" s="76"/>
      <c r="I15" s="76"/>
      <c r="J15" s="76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104"/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49">
        <f>IF(D4="","",D4)</f>
        <v>46294</v>
      </c>
      <c r="B17" s="44" t="s">
        <v>147</v>
      </c>
      <c r="C17" s="78" t="s">
        <v>152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44" t="s">
        <v>149</v>
      </c>
      <c r="B18" s="104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104" t="s">
        <v>153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104" t="s">
        <v>154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104"/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104"/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104"/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49">
        <f>IF(E4="","",E4)</f>
        <v>46295</v>
      </c>
      <c r="B24" s="44" t="s">
        <v>147</v>
      </c>
      <c r="C24" s="78" t="s">
        <v>155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44" t="s">
        <v>149</v>
      </c>
      <c r="B25" s="104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" customHeight="1">
      <c r="A26" s="104" t="s">
        <v>156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104" t="s">
        <v>157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" customHeight="1">
      <c r="A28" s="104"/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" customHeight="1">
      <c r="A29" s="104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104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49">
        <f>IF(F4="","",F4)</f>
        <v>46296</v>
      </c>
      <c r="B31" s="44" t="s">
        <v>147</v>
      </c>
      <c r="C31" s="78" t="s">
        <v>158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44" t="s">
        <v>149</v>
      </c>
      <c r="B32" s="104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104" t="s">
        <v>159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104" t="s">
        <v>160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104"/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104"/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" customHeight="1">
      <c r="A37" s="104"/>
      <c r="B37" s="76"/>
      <c r="C37" s="76"/>
      <c r="D37" s="76"/>
      <c r="E37" s="76"/>
      <c r="F37" s="76"/>
      <c r="G37" s="76"/>
      <c r="H37" s="76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" customHeight="1">
      <c r="A38" s="49">
        <f>IF(G4="","",G4)</f>
        <v>46297</v>
      </c>
      <c r="B38" s="44" t="s">
        <v>147</v>
      </c>
      <c r="C38" s="78" t="s">
        <v>161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44" t="s">
        <v>149</v>
      </c>
      <c r="B39" s="104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104" t="s">
        <v>162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104" t="s">
        <v>163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104"/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104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104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49">
        <f>IF(H4="","",H4)</f>
        <v>46298</v>
      </c>
      <c r="B45" s="44" t="s">
        <v>147</v>
      </c>
      <c r="C45" s="78" t="s">
        <v>164</v>
      </c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44" t="s">
        <v>149</v>
      </c>
      <c r="B46" s="104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104" t="s">
        <v>165</v>
      </c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104" t="s">
        <v>166</v>
      </c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104"/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104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104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49">
        <f>IF(I4="","",I4)</f>
        <v>46299</v>
      </c>
      <c r="B52" s="44" t="s">
        <v>147</v>
      </c>
      <c r="C52" s="78" t="s">
        <v>167</v>
      </c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44" t="s">
        <v>149</v>
      </c>
      <c r="B53" s="104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104" t="s">
        <v>168</v>
      </c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104" t="s">
        <v>169</v>
      </c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104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104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104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107" t="s">
        <v>170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104" t="s">
        <v>171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104" t="s">
        <v>172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104" t="s">
        <v>173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104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</mergeCells>
  <phoneticPr fontId="5" type="noConversion"/>
  <pageMargins left="0.75" right="0.75" top="1" bottom="1" header="0.511811023622047" footer="0.511811023622047"/>
  <pageSetup paperSize="9" scale="92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1B38-3CF4-4C18-82D7-8B9FCC05A68C}">
  <sheetPr>
    <outlinePr summaryBelow="0" summaryRight="0"/>
  </sheetPr>
  <dimension ref="A1:T200"/>
  <sheetViews>
    <sheetView topLeftCell="A4" workbookViewId="0">
      <selection activeCell="L32" sqref="L32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113" t="s">
        <v>174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53"/>
      <c r="B2" s="53"/>
      <c r="C2" s="53"/>
      <c r="D2" s="53"/>
      <c r="E2" s="53"/>
      <c r="F2" s="53"/>
      <c r="G2" s="53"/>
      <c r="H2" s="53"/>
      <c r="I2" s="53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54" t="s">
        <v>175</v>
      </c>
      <c r="B3" s="75" t="s">
        <v>176</v>
      </c>
      <c r="C3" s="76"/>
      <c r="D3" s="54" t="s">
        <v>177</v>
      </c>
      <c r="E3" s="55" t="s">
        <v>178</v>
      </c>
      <c r="F3" s="56">
        <f>C4</f>
        <v>46300</v>
      </c>
      <c r="G3" s="55" t="s">
        <v>179</v>
      </c>
      <c r="H3" s="56">
        <f>I4</f>
        <v>46306</v>
      </c>
      <c r="I3" s="57"/>
      <c r="J3" s="57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110" t="s">
        <v>180</v>
      </c>
      <c r="B4" s="58" t="s">
        <v>181</v>
      </c>
      <c r="C4" s="59">
        <v>46300</v>
      </c>
      <c r="D4" s="59">
        <v>46301</v>
      </c>
      <c r="E4" s="59">
        <v>46302</v>
      </c>
      <c r="F4" s="59">
        <v>46303</v>
      </c>
      <c r="G4" s="59">
        <v>46304</v>
      </c>
      <c r="H4" s="59">
        <v>46305</v>
      </c>
      <c r="I4" s="59">
        <v>46306</v>
      </c>
      <c r="J4" s="57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58" t="s">
        <v>182</v>
      </c>
      <c r="C5" s="60" t="str">
        <f t="shared" ref="C5:I5" si="0">IF(C4="","",TEXT(C4,"aaa"))</f>
        <v>一</v>
      </c>
      <c r="D5" s="60" t="str">
        <f t="shared" si="0"/>
        <v>二</v>
      </c>
      <c r="E5" s="60" t="str">
        <f t="shared" si="0"/>
        <v>三</v>
      </c>
      <c r="F5" s="60" t="str">
        <f t="shared" si="0"/>
        <v>四</v>
      </c>
      <c r="G5" s="60" t="str">
        <f t="shared" si="0"/>
        <v>五</v>
      </c>
      <c r="H5" s="60" t="str">
        <f t="shared" si="0"/>
        <v>六</v>
      </c>
      <c r="I5" s="60" t="str">
        <f t="shared" si="0"/>
        <v>日</v>
      </c>
      <c r="J5" s="57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54" t="s">
        <v>183</v>
      </c>
      <c r="C6" s="61" t="s">
        <v>252</v>
      </c>
      <c r="D6" s="61" t="s">
        <v>252</v>
      </c>
      <c r="E6" s="61" t="s">
        <v>252</v>
      </c>
      <c r="F6" s="61" t="s">
        <v>252</v>
      </c>
      <c r="G6" s="61" t="s">
        <v>252</v>
      </c>
      <c r="H6" s="61" t="s">
        <v>252</v>
      </c>
      <c r="I6" s="61" t="s">
        <v>252</v>
      </c>
      <c r="J6" s="62"/>
      <c r="K6" s="4" t="s">
        <v>184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54" t="s">
        <v>178</v>
      </c>
      <c r="C7" s="63">
        <v>0.35416666666666669</v>
      </c>
      <c r="D7" s="63">
        <v>0.35416666666666669</v>
      </c>
      <c r="E7" s="63">
        <v>0.35416666666666669</v>
      </c>
      <c r="F7" s="63">
        <v>0.35416666666666669</v>
      </c>
      <c r="G7" s="63">
        <v>0.35416666666666669</v>
      </c>
      <c r="H7" s="63">
        <v>0.35416666666666669</v>
      </c>
      <c r="I7" s="63">
        <v>0.35416666666666669</v>
      </c>
      <c r="J7" s="111" t="s">
        <v>185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54" t="s">
        <v>179</v>
      </c>
      <c r="C8" s="63">
        <v>0.47916666666666669</v>
      </c>
      <c r="D8" s="63">
        <v>0.72916666666666663</v>
      </c>
      <c r="E8" s="63">
        <v>0.72916666666666663</v>
      </c>
      <c r="F8" s="63">
        <v>0.72916666666666663</v>
      </c>
      <c r="G8" s="63">
        <v>0.72916666666666663</v>
      </c>
      <c r="H8" s="63">
        <v>0.72916666666666663</v>
      </c>
      <c r="I8" s="63">
        <v>0.72916666666666663</v>
      </c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54" t="s">
        <v>186</v>
      </c>
      <c r="B9" s="80" t="s">
        <v>187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60">
        <f>IF(C4="","",C4)</f>
        <v>46300</v>
      </c>
      <c r="B10" s="55" t="s">
        <v>188</v>
      </c>
      <c r="C10" s="78" t="s">
        <v>189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55" t="s">
        <v>190</v>
      </c>
      <c r="B11" s="109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109" t="s">
        <v>191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109" t="s">
        <v>192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109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109"/>
      <c r="B15" s="76"/>
      <c r="C15" s="76"/>
      <c r="D15" s="76"/>
      <c r="E15" s="76"/>
      <c r="F15" s="76"/>
      <c r="G15" s="76"/>
      <c r="H15" s="76"/>
      <c r="I15" s="76"/>
      <c r="J15" s="76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109"/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60">
        <f>IF(D4="","",D4)</f>
        <v>46301</v>
      </c>
      <c r="B17" s="55" t="s">
        <v>188</v>
      </c>
      <c r="C17" s="78" t="s">
        <v>193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55" t="s">
        <v>190</v>
      </c>
      <c r="B18" s="109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109" t="s">
        <v>194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109" t="s">
        <v>195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109"/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109"/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109"/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60">
        <f>IF(E4="","",E4)</f>
        <v>46302</v>
      </c>
      <c r="B24" s="55" t="s">
        <v>188</v>
      </c>
      <c r="C24" s="78" t="s">
        <v>196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55" t="s">
        <v>190</v>
      </c>
      <c r="B25" s="109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" customHeight="1">
      <c r="A26" s="109" t="s">
        <v>197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109" t="s">
        <v>198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" customHeight="1">
      <c r="A28" s="109"/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" customHeight="1">
      <c r="A29" s="109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109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60">
        <f>IF(F4="","",F4)</f>
        <v>46303</v>
      </c>
      <c r="B31" s="55" t="s">
        <v>188</v>
      </c>
      <c r="C31" s="78" t="s">
        <v>199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55" t="s">
        <v>190</v>
      </c>
      <c r="B32" s="109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109" t="s">
        <v>200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109" t="s">
        <v>201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109"/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109"/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" customHeight="1">
      <c r="A37" s="109"/>
      <c r="B37" s="76"/>
      <c r="C37" s="76"/>
      <c r="D37" s="76"/>
      <c r="E37" s="76"/>
      <c r="F37" s="76"/>
      <c r="G37" s="76"/>
      <c r="H37" s="76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" customHeight="1">
      <c r="A38" s="60">
        <f>IF(G4="","",G4)</f>
        <v>46304</v>
      </c>
      <c r="B38" s="55" t="s">
        <v>188</v>
      </c>
      <c r="C38" s="78" t="s">
        <v>202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55" t="s">
        <v>190</v>
      </c>
      <c r="B39" s="109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109" t="s">
        <v>203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109" t="s">
        <v>204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109"/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109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109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60">
        <f>IF(H4="","",H4)</f>
        <v>46305</v>
      </c>
      <c r="B45" s="55" t="s">
        <v>188</v>
      </c>
      <c r="C45" s="78" t="s">
        <v>205</v>
      </c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55" t="s">
        <v>190</v>
      </c>
      <c r="B46" s="109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109" t="s">
        <v>206</v>
      </c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109" t="s">
        <v>207</v>
      </c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109"/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109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109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60">
        <f>IF(I4="","",I4)</f>
        <v>46306</v>
      </c>
      <c r="B52" s="55" t="s">
        <v>188</v>
      </c>
      <c r="C52" s="78" t="s">
        <v>208</v>
      </c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55" t="s">
        <v>190</v>
      </c>
      <c r="B53" s="109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109" t="s">
        <v>209</v>
      </c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109" t="s">
        <v>210</v>
      </c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109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109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109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112" t="s">
        <v>211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109" t="s">
        <v>212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109" t="s">
        <v>213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109" t="s">
        <v>214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109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</mergeCells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FE14-0988-4924-BFC8-F0CFD4AA3894}">
  <sheetPr>
    <outlinePr summaryBelow="0" summaryRight="0"/>
  </sheetPr>
  <dimension ref="A1:T200"/>
  <sheetViews>
    <sheetView tabSelected="1" workbookViewId="0">
      <selection activeCell="A13" sqref="A13:J13"/>
    </sheetView>
  </sheetViews>
  <sheetFormatPr defaultRowHeight="14"/>
  <cols>
    <col min="1" max="1" width="14" customWidth="1"/>
    <col min="2" max="2" width="9" customWidth="1"/>
    <col min="3" max="3" width="9.4140625" customWidth="1"/>
    <col min="4" max="9" width="9.33203125" customWidth="1"/>
    <col min="10" max="11" width="9" customWidth="1"/>
    <col min="12" max="12" width="8.08203125" customWidth="1"/>
    <col min="13" max="13" width="8" customWidth="1"/>
    <col min="14" max="20" width="9" customWidth="1"/>
  </cols>
  <sheetData>
    <row r="1" spans="1:20" ht="15.65" customHeight="1">
      <c r="A1" s="83" t="s">
        <v>215</v>
      </c>
      <c r="B1" s="76"/>
      <c r="C1" s="76"/>
      <c r="D1" s="76"/>
      <c r="E1" s="76"/>
      <c r="F1" s="76"/>
      <c r="G1" s="76"/>
      <c r="H1" s="76"/>
      <c r="I1" s="76"/>
      <c r="J1" s="76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" customHeight="1">
      <c r="A2" s="64"/>
      <c r="B2" s="64"/>
      <c r="C2" s="64"/>
      <c r="D2" s="64"/>
      <c r="E2" s="64"/>
      <c r="F2" s="64"/>
      <c r="G2" s="64"/>
      <c r="H2" s="64"/>
      <c r="I2" s="64"/>
      <c r="J2" s="3"/>
      <c r="K2" s="4"/>
      <c r="L2" s="1"/>
      <c r="M2" s="1"/>
      <c r="N2" s="1"/>
      <c r="O2" s="1"/>
      <c r="P2" s="1"/>
      <c r="Q2" s="1"/>
      <c r="R2" s="1"/>
      <c r="S2" s="1"/>
      <c r="T2" s="1"/>
    </row>
    <row r="3" spans="1:20" ht="12" customHeight="1">
      <c r="A3" s="65" t="s">
        <v>216</v>
      </c>
      <c r="B3" s="75" t="s">
        <v>217</v>
      </c>
      <c r="C3" s="76"/>
      <c r="D3" s="65" t="s">
        <v>218</v>
      </c>
      <c r="E3" s="66" t="s">
        <v>219</v>
      </c>
      <c r="F3" s="67">
        <f>C4</f>
        <v>46307</v>
      </c>
      <c r="G3" s="66" t="s">
        <v>220</v>
      </c>
      <c r="H3" s="67" t="str">
        <f>I4</f>
        <v/>
      </c>
      <c r="I3" s="68"/>
      <c r="J3" s="68"/>
      <c r="K3" s="4"/>
      <c r="L3" s="1"/>
      <c r="M3" s="1"/>
      <c r="N3" s="1"/>
      <c r="O3" s="1"/>
      <c r="P3" s="1"/>
      <c r="Q3" s="1"/>
      <c r="R3" s="1"/>
      <c r="S3" s="1"/>
      <c r="T3" s="1"/>
    </row>
    <row r="4" spans="1:20" ht="14.25" customHeight="1">
      <c r="A4" s="79" t="s">
        <v>221</v>
      </c>
      <c r="B4" s="69" t="s">
        <v>222</v>
      </c>
      <c r="C4" s="70">
        <v>46307</v>
      </c>
      <c r="D4" s="70">
        <v>46308</v>
      </c>
      <c r="E4" s="70">
        <v>46309</v>
      </c>
      <c r="F4" s="70">
        <v>46310</v>
      </c>
      <c r="G4" s="70">
        <v>46311</v>
      </c>
      <c r="H4" s="70" t="s">
        <v>223</v>
      </c>
      <c r="I4" s="70" t="s">
        <v>223</v>
      </c>
      <c r="J4" s="68"/>
      <c r="K4" s="4"/>
      <c r="L4" s="1"/>
      <c r="M4" s="1"/>
      <c r="N4" s="1"/>
      <c r="O4" s="1"/>
      <c r="P4" s="1"/>
      <c r="Q4" s="1"/>
      <c r="R4" s="1"/>
      <c r="S4" s="1"/>
      <c r="T4" s="1"/>
    </row>
    <row r="5" spans="1:20" ht="12" customHeight="1">
      <c r="A5" s="76"/>
      <c r="B5" s="69" t="s">
        <v>224</v>
      </c>
      <c r="C5" s="71" t="str">
        <f t="shared" ref="C5:I5" si="0">IF(C4="","",TEXT(C4,"aaa"))</f>
        <v>一</v>
      </c>
      <c r="D5" s="71" t="str">
        <f t="shared" si="0"/>
        <v>二</v>
      </c>
      <c r="E5" s="71" t="str">
        <f t="shared" si="0"/>
        <v>三</v>
      </c>
      <c r="F5" s="71" t="str">
        <f t="shared" si="0"/>
        <v>四</v>
      </c>
      <c r="G5" s="71" t="str">
        <f t="shared" si="0"/>
        <v>五</v>
      </c>
      <c r="H5" s="71" t="str">
        <f t="shared" si="0"/>
        <v/>
      </c>
      <c r="I5" s="71" t="str">
        <f t="shared" si="0"/>
        <v/>
      </c>
      <c r="J5" s="68"/>
      <c r="K5" s="4"/>
      <c r="L5" s="1"/>
      <c r="M5" s="1"/>
      <c r="N5" s="1"/>
      <c r="O5" s="1"/>
      <c r="P5" s="1"/>
      <c r="Q5" s="1"/>
      <c r="R5" s="1"/>
      <c r="S5" s="1"/>
      <c r="T5" s="1"/>
    </row>
    <row r="6" spans="1:20" ht="12" customHeight="1">
      <c r="A6" s="76"/>
      <c r="B6" s="65" t="s">
        <v>225</v>
      </c>
      <c r="C6" s="72" t="s">
        <v>251</v>
      </c>
      <c r="D6" s="72" t="s">
        <v>251</v>
      </c>
      <c r="E6" s="72" t="s">
        <v>251</v>
      </c>
      <c r="F6" s="72" t="s">
        <v>251</v>
      </c>
      <c r="G6" s="72" t="s">
        <v>251</v>
      </c>
      <c r="H6" s="72"/>
      <c r="I6" s="72"/>
      <c r="J6" s="73"/>
      <c r="K6" s="4" t="s">
        <v>226</v>
      </c>
      <c r="L6" s="1"/>
      <c r="M6" s="1"/>
      <c r="N6" s="1"/>
      <c r="O6" s="1"/>
      <c r="P6" s="1"/>
      <c r="Q6" s="1"/>
      <c r="R6" s="1"/>
      <c r="S6" s="1"/>
      <c r="T6" s="1"/>
    </row>
    <row r="7" spans="1:20" ht="12" customHeight="1">
      <c r="A7" s="76"/>
      <c r="B7" s="65" t="s">
        <v>219</v>
      </c>
      <c r="C7" s="74">
        <v>0.35416666666666669</v>
      </c>
      <c r="D7" s="74">
        <v>0.35416666666666669</v>
      </c>
      <c r="E7" s="74">
        <v>0.35416666666666669</v>
      </c>
      <c r="F7" s="74">
        <v>0.35416666666666669</v>
      </c>
      <c r="G7" s="74">
        <v>0.35416666666666669</v>
      </c>
      <c r="H7" s="74"/>
      <c r="I7" s="74"/>
      <c r="J7" s="81" t="s">
        <v>227</v>
      </c>
      <c r="K7" s="4"/>
      <c r="L7" s="1"/>
      <c r="M7" s="15"/>
      <c r="N7" s="1"/>
      <c r="O7" s="1"/>
      <c r="P7" s="1"/>
      <c r="Q7" s="1"/>
      <c r="R7" s="1"/>
      <c r="S7" s="1"/>
      <c r="T7" s="1"/>
    </row>
    <row r="8" spans="1:20" ht="12" customHeight="1">
      <c r="A8" s="76"/>
      <c r="B8" s="65" t="s">
        <v>220</v>
      </c>
      <c r="C8" s="74">
        <v>0.47916666666666669</v>
      </c>
      <c r="D8" s="74">
        <v>0.72916666666666663</v>
      </c>
      <c r="E8" s="74">
        <v>0.72916666666666663</v>
      </c>
      <c r="F8" s="74">
        <v>0.72916666666666663</v>
      </c>
      <c r="G8" s="74">
        <v>0.72916666666666663</v>
      </c>
      <c r="H8" s="74"/>
      <c r="I8" s="74"/>
      <c r="J8" s="76"/>
      <c r="K8" s="4"/>
      <c r="L8" s="1"/>
      <c r="M8" s="15"/>
      <c r="N8" s="1"/>
      <c r="O8" s="1"/>
      <c r="P8" s="1"/>
      <c r="Q8" s="1"/>
      <c r="R8" s="1"/>
      <c r="S8" s="1"/>
      <c r="T8" s="1"/>
    </row>
    <row r="9" spans="1:20" ht="12" customHeight="1">
      <c r="A9" s="65" t="s">
        <v>228</v>
      </c>
      <c r="B9" s="80" t="s">
        <v>229</v>
      </c>
      <c r="C9" s="76"/>
      <c r="D9" s="76"/>
      <c r="E9" s="76"/>
      <c r="F9" s="76"/>
      <c r="G9" s="76"/>
      <c r="H9" s="76"/>
      <c r="I9" s="76"/>
      <c r="J9" s="76"/>
      <c r="K9" s="1"/>
      <c r="L9" s="16"/>
      <c r="M9" s="16"/>
      <c r="N9" s="1"/>
      <c r="O9" s="1"/>
      <c r="P9" s="1"/>
      <c r="Q9" s="1"/>
      <c r="R9" s="1"/>
      <c r="S9" s="1"/>
      <c r="T9" s="1"/>
    </row>
    <row r="10" spans="1:20" ht="12" customHeight="1">
      <c r="A10" s="71">
        <f>IF(C4="","",C4)</f>
        <v>46307</v>
      </c>
      <c r="B10" s="66" t="s">
        <v>230</v>
      </c>
      <c r="C10" s="78" t="s">
        <v>231</v>
      </c>
      <c r="D10" s="76"/>
      <c r="E10" s="76"/>
      <c r="F10" s="76"/>
      <c r="G10" s="76"/>
      <c r="H10" s="76"/>
      <c r="I10" s="76"/>
      <c r="J10" s="76"/>
      <c r="K10" s="1"/>
      <c r="L10" s="1"/>
      <c r="M10" s="16"/>
      <c r="N10" s="1"/>
      <c r="O10" s="1"/>
      <c r="P10" s="1"/>
      <c r="Q10" s="1"/>
      <c r="R10" s="1"/>
      <c r="S10" s="1"/>
      <c r="T10" s="1"/>
    </row>
    <row r="11" spans="1:20" ht="12" customHeight="1">
      <c r="A11" s="66" t="s">
        <v>232</v>
      </c>
      <c r="B11" s="77"/>
      <c r="C11" s="76"/>
      <c r="D11" s="76"/>
      <c r="E11" s="76"/>
      <c r="F11" s="76"/>
      <c r="G11" s="76"/>
      <c r="H11" s="76"/>
      <c r="I11" s="76"/>
      <c r="J11" s="76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" customHeight="1">
      <c r="A12" s="77" t="s">
        <v>233</v>
      </c>
      <c r="B12" s="76"/>
      <c r="C12" s="76"/>
      <c r="D12" s="76"/>
      <c r="E12" s="76"/>
      <c r="F12" s="76"/>
      <c r="G12" s="76"/>
      <c r="H12" s="76"/>
      <c r="I12" s="76"/>
      <c r="J12" s="76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" customHeight="1">
      <c r="A13" s="77" t="s">
        <v>234</v>
      </c>
      <c r="B13" s="76"/>
      <c r="C13" s="76"/>
      <c r="D13" s="76"/>
      <c r="E13" s="76"/>
      <c r="F13" s="76"/>
      <c r="G13" s="76"/>
      <c r="H13" s="76"/>
      <c r="I13" s="76"/>
      <c r="J13" s="76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" customHeight="1">
      <c r="A14" s="77"/>
      <c r="B14" s="76"/>
      <c r="C14" s="76"/>
      <c r="D14" s="76"/>
      <c r="E14" s="76"/>
      <c r="F14" s="76"/>
      <c r="G14" s="76"/>
      <c r="H14" s="76"/>
      <c r="I14" s="76"/>
      <c r="J14" s="76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" customHeight="1">
      <c r="A15" s="77"/>
      <c r="B15" s="76"/>
      <c r="C15" s="76"/>
      <c r="D15" s="76"/>
      <c r="E15" s="76"/>
      <c r="F15" s="76"/>
      <c r="G15" s="76"/>
      <c r="H15" s="76"/>
      <c r="I15" s="76"/>
      <c r="J15" s="76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" customHeight="1">
      <c r="A16" s="77"/>
      <c r="B16" s="76"/>
      <c r="C16" s="76"/>
      <c r="D16" s="76"/>
      <c r="E16" s="76"/>
      <c r="F16" s="76"/>
      <c r="G16" s="76"/>
      <c r="H16" s="76"/>
      <c r="I16" s="76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" customHeight="1">
      <c r="A17" s="71">
        <f>IF(D4="","",D4)</f>
        <v>46308</v>
      </c>
      <c r="B17" s="66" t="s">
        <v>230</v>
      </c>
      <c r="C17" s="78" t="s">
        <v>235</v>
      </c>
      <c r="D17" s="76"/>
      <c r="E17" s="76"/>
      <c r="F17" s="76"/>
      <c r="G17" s="76"/>
      <c r="H17" s="76"/>
      <c r="I17" s="76"/>
      <c r="J17" s="76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" customHeight="1">
      <c r="A18" s="66" t="s">
        <v>232</v>
      </c>
      <c r="B18" s="77"/>
      <c r="C18" s="76"/>
      <c r="D18" s="76"/>
      <c r="E18" s="76"/>
      <c r="F18" s="76"/>
      <c r="G18" s="76"/>
      <c r="H18" s="76"/>
      <c r="I18" s="76"/>
      <c r="J18" s="76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" customHeight="1">
      <c r="A19" s="77" t="s">
        <v>236</v>
      </c>
      <c r="B19" s="76"/>
      <c r="C19" s="76"/>
      <c r="D19" s="76"/>
      <c r="E19" s="76"/>
      <c r="F19" s="76"/>
      <c r="G19" s="76"/>
      <c r="H19" s="76"/>
      <c r="I19" s="76"/>
      <c r="J19" s="76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" customHeight="1">
      <c r="A20" s="77" t="s">
        <v>237</v>
      </c>
      <c r="B20" s="76"/>
      <c r="C20" s="76"/>
      <c r="D20" s="76"/>
      <c r="E20" s="76"/>
      <c r="F20" s="76"/>
      <c r="G20" s="76"/>
      <c r="H20" s="76"/>
      <c r="I20" s="76"/>
      <c r="J20" s="76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" customHeight="1">
      <c r="A21" s="77"/>
      <c r="B21" s="76"/>
      <c r="C21" s="76"/>
      <c r="D21" s="76"/>
      <c r="E21" s="76"/>
      <c r="F21" s="76"/>
      <c r="G21" s="76"/>
      <c r="H21" s="76"/>
      <c r="I21" s="76"/>
      <c r="J21" s="76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" customHeight="1">
      <c r="A22" s="77"/>
      <c r="B22" s="76"/>
      <c r="C22" s="76"/>
      <c r="D22" s="76"/>
      <c r="E22" s="76"/>
      <c r="F22" s="76"/>
      <c r="G22" s="76"/>
      <c r="H22" s="76"/>
      <c r="I22" s="76"/>
      <c r="J22" s="76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" customHeight="1">
      <c r="A23" s="77"/>
      <c r="B23" s="76"/>
      <c r="C23" s="76"/>
      <c r="D23" s="76"/>
      <c r="E23" s="76"/>
      <c r="F23" s="76"/>
      <c r="G23" s="76"/>
      <c r="H23" s="76"/>
      <c r="I23" s="76"/>
      <c r="J23" s="76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" customHeight="1">
      <c r="A24" s="71">
        <f>IF(E4="","",E4)</f>
        <v>46309</v>
      </c>
      <c r="B24" s="66" t="s">
        <v>230</v>
      </c>
      <c r="C24" s="78" t="s">
        <v>238</v>
      </c>
      <c r="D24" s="76"/>
      <c r="E24" s="76"/>
      <c r="F24" s="76"/>
      <c r="G24" s="76"/>
      <c r="H24" s="76"/>
      <c r="I24" s="76"/>
      <c r="J24" s="76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" customHeight="1">
      <c r="A25" s="66" t="s">
        <v>232</v>
      </c>
      <c r="B25" s="77"/>
      <c r="C25" s="76"/>
      <c r="D25" s="76"/>
      <c r="E25" s="76"/>
      <c r="F25" s="76"/>
      <c r="G25" s="76"/>
      <c r="H25" s="76"/>
      <c r="I25" s="76"/>
      <c r="J25" s="76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" customHeight="1">
      <c r="A26" s="77" t="s">
        <v>239</v>
      </c>
      <c r="B26" s="76"/>
      <c r="C26" s="76"/>
      <c r="D26" s="76"/>
      <c r="E26" s="76"/>
      <c r="F26" s="76"/>
      <c r="G26" s="76"/>
      <c r="H26" s="76"/>
      <c r="I26" s="76"/>
      <c r="J26" s="76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" customHeight="1">
      <c r="A27" s="77" t="s">
        <v>240</v>
      </c>
      <c r="B27" s="76"/>
      <c r="C27" s="76"/>
      <c r="D27" s="76"/>
      <c r="E27" s="76"/>
      <c r="F27" s="76"/>
      <c r="G27" s="76"/>
      <c r="H27" s="76"/>
      <c r="I27" s="76"/>
      <c r="J27" s="76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" customHeight="1">
      <c r="A28" s="77"/>
      <c r="B28" s="76"/>
      <c r="C28" s="76"/>
      <c r="D28" s="76"/>
      <c r="E28" s="76"/>
      <c r="F28" s="76"/>
      <c r="G28" s="76"/>
      <c r="H28" s="76"/>
      <c r="I28" s="76"/>
      <c r="J28" s="76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" customHeight="1">
      <c r="A29" s="77"/>
      <c r="B29" s="76"/>
      <c r="C29" s="76"/>
      <c r="D29" s="76"/>
      <c r="E29" s="76"/>
      <c r="F29" s="76"/>
      <c r="G29" s="76"/>
      <c r="H29" s="76"/>
      <c r="I29" s="76"/>
      <c r="J29" s="76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" customHeight="1">
      <c r="A30" s="77"/>
      <c r="B30" s="76"/>
      <c r="C30" s="76"/>
      <c r="D30" s="76"/>
      <c r="E30" s="76"/>
      <c r="F30" s="76"/>
      <c r="G30" s="76"/>
      <c r="H30" s="76"/>
      <c r="I30" s="76"/>
      <c r="J30" s="76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" customHeight="1">
      <c r="A31" s="71">
        <f>IF(F4="","",F4)</f>
        <v>46310</v>
      </c>
      <c r="B31" s="66" t="s">
        <v>230</v>
      </c>
      <c r="C31" s="78" t="s">
        <v>241</v>
      </c>
      <c r="D31" s="76"/>
      <c r="E31" s="76"/>
      <c r="F31" s="76"/>
      <c r="G31" s="76"/>
      <c r="H31" s="76"/>
      <c r="I31" s="76"/>
      <c r="J31" s="76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" customHeight="1">
      <c r="A32" s="66" t="s">
        <v>232</v>
      </c>
      <c r="B32" s="77"/>
      <c r="C32" s="76"/>
      <c r="D32" s="76"/>
      <c r="E32" s="76"/>
      <c r="F32" s="76"/>
      <c r="G32" s="76"/>
      <c r="H32" s="76"/>
      <c r="I32" s="76"/>
      <c r="J32" s="76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" customHeight="1">
      <c r="A33" s="77" t="s">
        <v>242</v>
      </c>
      <c r="B33" s="76"/>
      <c r="C33" s="76"/>
      <c r="D33" s="76"/>
      <c r="E33" s="76"/>
      <c r="F33" s="76"/>
      <c r="G33" s="76"/>
      <c r="H33" s="76"/>
      <c r="I33" s="76"/>
      <c r="J33" s="76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" customHeight="1">
      <c r="A34" s="77" t="s">
        <v>243</v>
      </c>
      <c r="B34" s="76"/>
      <c r="C34" s="76"/>
      <c r="D34" s="76"/>
      <c r="E34" s="76"/>
      <c r="F34" s="76"/>
      <c r="G34" s="76"/>
      <c r="H34" s="76"/>
      <c r="I34" s="76"/>
      <c r="J34" s="76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" customHeight="1">
      <c r="A35" s="77"/>
      <c r="B35" s="76"/>
      <c r="C35" s="76"/>
      <c r="D35" s="76"/>
      <c r="E35" s="76"/>
      <c r="F35" s="76"/>
      <c r="G35" s="76"/>
      <c r="H35" s="76"/>
      <c r="I35" s="76"/>
      <c r="J35" s="76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" customHeight="1">
      <c r="A36" s="77"/>
      <c r="B36" s="76"/>
      <c r="C36" s="76"/>
      <c r="D36" s="76"/>
      <c r="E36" s="76"/>
      <c r="F36" s="76"/>
      <c r="G36" s="76"/>
      <c r="H36" s="76"/>
      <c r="I36" s="76"/>
      <c r="J36" s="76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" customHeight="1">
      <c r="A37" s="77"/>
      <c r="B37" s="76"/>
      <c r="C37" s="76"/>
      <c r="D37" s="76"/>
      <c r="E37" s="76"/>
      <c r="F37" s="76"/>
      <c r="G37" s="76"/>
      <c r="H37" s="76"/>
      <c r="I37" s="76"/>
      <c r="J37" s="76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" customHeight="1">
      <c r="A38" s="71">
        <f>IF(G4="","",G4)</f>
        <v>46311</v>
      </c>
      <c r="B38" s="66" t="s">
        <v>230</v>
      </c>
      <c r="C38" s="78" t="s">
        <v>244</v>
      </c>
      <c r="D38" s="76"/>
      <c r="E38" s="76"/>
      <c r="F38" s="76"/>
      <c r="G38" s="76"/>
      <c r="H38" s="76"/>
      <c r="I38" s="76"/>
      <c r="J38" s="76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" customHeight="1">
      <c r="A39" s="66" t="s">
        <v>232</v>
      </c>
      <c r="B39" s="77"/>
      <c r="C39" s="76"/>
      <c r="D39" s="76"/>
      <c r="E39" s="76"/>
      <c r="F39" s="76"/>
      <c r="G39" s="76"/>
      <c r="H39" s="76"/>
      <c r="I39" s="76"/>
      <c r="J39" s="76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" customHeight="1">
      <c r="A40" s="77" t="s">
        <v>245</v>
      </c>
      <c r="B40" s="76"/>
      <c r="C40" s="76"/>
      <c r="D40" s="76"/>
      <c r="E40" s="76"/>
      <c r="F40" s="76"/>
      <c r="G40" s="76"/>
      <c r="H40" s="76"/>
      <c r="I40" s="76"/>
      <c r="J40" s="76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" customHeight="1">
      <c r="A41" s="77" t="s">
        <v>246</v>
      </c>
      <c r="B41" s="76"/>
      <c r="C41" s="76"/>
      <c r="D41" s="76"/>
      <c r="E41" s="76"/>
      <c r="F41" s="76"/>
      <c r="G41" s="76"/>
      <c r="H41" s="76"/>
      <c r="I41" s="76"/>
      <c r="J41" s="76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" customHeight="1">
      <c r="A42" s="77"/>
      <c r="B42" s="76"/>
      <c r="C42" s="76"/>
      <c r="D42" s="76"/>
      <c r="E42" s="76"/>
      <c r="F42" s="76"/>
      <c r="G42" s="76"/>
      <c r="H42" s="76"/>
      <c r="I42" s="76"/>
      <c r="J42" s="76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" customHeight="1">
      <c r="A43" s="77"/>
      <c r="B43" s="76"/>
      <c r="C43" s="76"/>
      <c r="D43" s="76"/>
      <c r="E43" s="76"/>
      <c r="F43" s="76"/>
      <c r="G43" s="76"/>
      <c r="H43" s="76"/>
      <c r="I43" s="76"/>
      <c r="J43" s="76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" customHeight="1">
      <c r="A44" s="77"/>
      <c r="B44" s="76"/>
      <c r="C44" s="76"/>
      <c r="D44" s="76"/>
      <c r="E44" s="76"/>
      <c r="F44" s="76"/>
      <c r="G44" s="76"/>
      <c r="H44" s="76"/>
      <c r="I44" s="76"/>
      <c r="J44" s="76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" customHeight="1">
      <c r="A45" s="71" t="str">
        <f>IF(H4="","",H4)</f>
        <v/>
      </c>
      <c r="B45" s="66" t="s">
        <v>230</v>
      </c>
      <c r="C45" s="78"/>
      <c r="D45" s="76"/>
      <c r="E45" s="76"/>
      <c r="F45" s="76"/>
      <c r="G45" s="76"/>
      <c r="H45" s="76"/>
      <c r="I45" s="76"/>
      <c r="J45" s="76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" customHeight="1">
      <c r="A46" s="66" t="s">
        <v>232</v>
      </c>
      <c r="B46" s="77"/>
      <c r="C46" s="76"/>
      <c r="D46" s="76"/>
      <c r="E46" s="76"/>
      <c r="F46" s="76"/>
      <c r="G46" s="76"/>
      <c r="H46" s="76"/>
      <c r="I46" s="76"/>
      <c r="J46" s="76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2" customHeight="1">
      <c r="A47" s="77"/>
      <c r="B47" s="76"/>
      <c r="C47" s="76"/>
      <c r="D47" s="76"/>
      <c r="E47" s="76"/>
      <c r="F47" s="76"/>
      <c r="G47" s="76"/>
      <c r="H47" s="76"/>
      <c r="I47" s="76"/>
      <c r="J47" s="76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2" customHeight="1">
      <c r="A48" s="77"/>
      <c r="B48" s="76"/>
      <c r="C48" s="76"/>
      <c r="D48" s="76"/>
      <c r="E48" s="76"/>
      <c r="F48" s="76"/>
      <c r="G48" s="76"/>
      <c r="H48" s="76"/>
      <c r="I48" s="76"/>
      <c r="J48" s="76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2" customHeight="1">
      <c r="A49" s="77"/>
      <c r="B49" s="76"/>
      <c r="C49" s="76"/>
      <c r="D49" s="76"/>
      <c r="E49" s="76"/>
      <c r="F49" s="76"/>
      <c r="G49" s="76"/>
      <c r="H49" s="76"/>
      <c r="I49" s="76"/>
      <c r="J49" s="76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2" customHeight="1">
      <c r="A50" s="77"/>
      <c r="B50" s="76"/>
      <c r="C50" s="76"/>
      <c r="D50" s="76"/>
      <c r="E50" s="76"/>
      <c r="F50" s="76"/>
      <c r="G50" s="76"/>
      <c r="H50" s="76"/>
      <c r="I50" s="76"/>
      <c r="J50" s="76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" customHeight="1">
      <c r="A51" s="77"/>
      <c r="B51" s="76"/>
      <c r="C51" s="76"/>
      <c r="D51" s="76"/>
      <c r="E51" s="76"/>
      <c r="F51" s="76"/>
      <c r="G51" s="76"/>
      <c r="H51" s="76"/>
      <c r="I51" s="76"/>
      <c r="J51" s="76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2" customHeight="1">
      <c r="A52" s="71" t="str">
        <f>IF(I4="","",I4)</f>
        <v/>
      </c>
      <c r="B52" s="66" t="s">
        <v>230</v>
      </c>
      <c r="C52" s="78"/>
      <c r="D52" s="76"/>
      <c r="E52" s="76"/>
      <c r="F52" s="76"/>
      <c r="G52" s="76"/>
      <c r="H52" s="76"/>
      <c r="I52" s="76"/>
      <c r="J52" s="76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2" customHeight="1">
      <c r="A53" s="66" t="s">
        <v>232</v>
      </c>
      <c r="B53" s="77"/>
      <c r="C53" s="76"/>
      <c r="D53" s="76"/>
      <c r="E53" s="76"/>
      <c r="F53" s="76"/>
      <c r="G53" s="76"/>
      <c r="H53" s="76"/>
      <c r="I53" s="76"/>
      <c r="J53" s="76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2" customHeight="1">
      <c r="A54" s="77"/>
      <c r="B54" s="76"/>
      <c r="C54" s="76"/>
      <c r="D54" s="76"/>
      <c r="E54" s="76"/>
      <c r="F54" s="76"/>
      <c r="G54" s="76"/>
      <c r="H54" s="76"/>
      <c r="I54" s="76"/>
      <c r="J54" s="76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2" customHeight="1">
      <c r="A55" s="77"/>
      <c r="B55" s="76"/>
      <c r="C55" s="76"/>
      <c r="D55" s="76"/>
      <c r="E55" s="76"/>
      <c r="F55" s="76"/>
      <c r="G55" s="76"/>
      <c r="H55" s="76"/>
      <c r="I55" s="76"/>
      <c r="J55" s="76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2" customHeight="1">
      <c r="A56" s="77"/>
      <c r="B56" s="76"/>
      <c r="C56" s="76"/>
      <c r="D56" s="76"/>
      <c r="E56" s="76"/>
      <c r="F56" s="76"/>
      <c r="G56" s="76"/>
      <c r="H56" s="76"/>
      <c r="I56" s="76"/>
      <c r="J56" s="76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2" customHeight="1">
      <c r="A57" s="77"/>
      <c r="B57" s="76"/>
      <c r="C57" s="76"/>
      <c r="D57" s="76"/>
      <c r="E57" s="76"/>
      <c r="F57" s="76"/>
      <c r="G57" s="76"/>
      <c r="H57" s="76"/>
      <c r="I57" s="76"/>
      <c r="J57" s="76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2" customHeight="1">
      <c r="A58" s="77"/>
      <c r="B58" s="76"/>
      <c r="C58" s="76"/>
      <c r="D58" s="76"/>
      <c r="E58" s="76"/>
      <c r="F58" s="76"/>
      <c r="G58" s="76"/>
      <c r="H58" s="76"/>
      <c r="I58" s="76"/>
      <c r="J58" s="76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2" customHeight="1">
      <c r="A59" s="82" t="s">
        <v>247</v>
      </c>
      <c r="B59" s="76"/>
      <c r="C59" s="76"/>
      <c r="D59" s="76"/>
      <c r="E59" s="76"/>
      <c r="F59" s="76"/>
      <c r="G59" s="76"/>
      <c r="H59" s="76"/>
      <c r="I59" s="76"/>
      <c r="J59" s="76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2" customHeight="1">
      <c r="A60" s="77" t="s">
        <v>248</v>
      </c>
      <c r="B60" s="76"/>
      <c r="C60" s="76"/>
      <c r="D60" s="76"/>
      <c r="E60" s="76"/>
      <c r="F60" s="76"/>
      <c r="G60" s="76"/>
      <c r="H60" s="76"/>
      <c r="I60" s="76"/>
      <c r="J60" s="76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2" customHeight="1">
      <c r="A61" s="77" t="s">
        <v>249</v>
      </c>
      <c r="B61" s="76"/>
      <c r="C61" s="76"/>
      <c r="D61" s="76"/>
      <c r="E61" s="76"/>
      <c r="F61" s="76"/>
      <c r="G61" s="76"/>
      <c r="H61" s="76"/>
      <c r="I61" s="76"/>
      <c r="J61" s="76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2" customHeight="1">
      <c r="A62" s="77" t="s">
        <v>250</v>
      </c>
      <c r="B62" s="76"/>
      <c r="C62" s="76"/>
      <c r="D62" s="76"/>
      <c r="E62" s="76"/>
      <c r="F62" s="76"/>
      <c r="G62" s="76"/>
      <c r="H62" s="76"/>
      <c r="I62" s="76"/>
      <c r="J62" s="76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2" customHeight="1">
      <c r="A63" s="77"/>
      <c r="B63" s="76"/>
      <c r="C63" s="76"/>
      <c r="D63" s="76"/>
      <c r="E63" s="76"/>
      <c r="F63" s="76"/>
      <c r="G63" s="76"/>
      <c r="H63" s="76"/>
      <c r="I63" s="76"/>
      <c r="J63" s="76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2" customHeight="1">
      <c r="A64" s="78"/>
      <c r="B64" s="76"/>
      <c r="C64" s="76"/>
      <c r="D64" s="76"/>
      <c r="E64" s="76"/>
      <c r="F64" s="76"/>
      <c r="G64" s="76"/>
      <c r="H64" s="76"/>
      <c r="I64" s="76"/>
      <c r="J64" s="76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 spans="1:20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 spans="1:20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 spans="1:20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 spans="1:20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 spans="1:2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 spans="1:20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spans="1:20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spans="1:20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 spans="1:20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spans="1:2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spans="1:20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 spans="1:20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 spans="1:20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 spans="1:20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spans="1:20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 spans="1:20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spans="1:20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 spans="1:20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 spans="1:20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 spans="1:2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 spans="1:20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 spans="1:20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 spans="1:20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 spans="1:20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 spans="1:20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 spans="1:20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spans="1:20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 spans="1:20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 spans="1:2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 spans="1:20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 spans="1:20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 spans="1:20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1:2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1:20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1:20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1:20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1:20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1:20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1:20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1:20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1:20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1:20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1:20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1:20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1:20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1:20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1:20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1:20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1:20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1:20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 spans="1:2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 spans="1:20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 spans="1:20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 spans="1:20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 spans="1:20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 spans="1:20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 spans="1:20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 spans="1:20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 spans="1:20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 spans="1:20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 spans="1:2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 spans="1:20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 spans="1:20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</sheetData>
  <mergeCells count="60">
    <mergeCell ref="A1:J1"/>
    <mergeCell ref="A36:J36"/>
    <mergeCell ref="A61:J61"/>
    <mergeCell ref="B32:J32"/>
    <mergeCell ref="A16:J16"/>
    <mergeCell ref="C52:J52"/>
    <mergeCell ref="A54:J54"/>
    <mergeCell ref="A41:J41"/>
    <mergeCell ref="C17:J17"/>
    <mergeCell ref="B25:J25"/>
    <mergeCell ref="A37:J37"/>
    <mergeCell ref="B46:J46"/>
    <mergeCell ref="A56:J56"/>
    <mergeCell ref="A27:J27"/>
    <mergeCell ref="C38:J38"/>
    <mergeCell ref="A21:J21"/>
    <mergeCell ref="A64:J64"/>
    <mergeCell ref="C31:J31"/>
    <mergeCell ref="A60:J60"/>
    <mergeCell ref="A49:J49"/>
    <mergeCell ref="A51:J51"/>
    <mergeCell ref="A55:J55"/>
    <mergeCell ref="A50:J50"/>
    <mergeCell ref="A57:J57"/>
    <mergeCell ref="B39:J39"/>
    <mergeCell ref="A42:J42"/>
    <mergeCell ref="A33:J33"/>
    <mergeCell ref="A63:J63"/>
    <mergeCell ref="A58:J58"/>
    <mergeCell ref="A40:J40"/>
    <mergeCell ref="A59:J59"/>
    <mergeCell ref="C10:J10"/>
    <mergeCell ref="A30:J30"/>
    <mergeCell ref="A34:J34"/>
    <mergeCell ref="A15:J15"/>
    <mergeCell ref="A48:J48"/>
    <mergeCell ref="A12:J12"/>
    <mergeCell ref="B18:J18"/>
    <mergeCell ref="A26:J26"/>
    <mergeCell ref="A47:J47"/>
    <mergeCell ref="B11:J11"/>
    <mergeCell ref="A23:J23"/>
    <mergeCell ref="A14:J14"/>
    <mergeCell ref="A22:J22"/>
    <mergeCell ref="B3:C3"/>
    <mergeCell ref="A62:J62"/>
    <mergeCell ref="C24:J24"/>
    <mergeCell ref="A4:A8"/>
    <mergeCell ref="A29:J29"/>
    <mergeCell ref="A35:J35"/>
    <mergeCell ref="A20:J20"/>
    <mergeCell ref="A43:J43"/>
    <mergeCell ref="B53:J53"/>
    <mergeCell ref="C45:J45"/>
    <mergeCell ref="A28:J28"/>
    <mergeCell ref="A13:J13"/>
    <mergeCell ref="A19:J19"/>
    <mergeCell ref="A44:J44"/>
    <mergeCell ref="B9:J9"/>
    <mergeCell ref="J7:J8"/>
  </mergeCells>
  <phoneticPr fontId="5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周报（第1周）</vt:lpstr>
      <vt:lpstr>周报（第2周）</vt:lpstr>
      <vt:lpstr>周报（第3周）</vt:lpstr>
      <vt:lpstr>周报（第4周）</vt:lpstr>
      <vt:lpstr>周报（第5周）</vt:lpstr>
      <vt:lpstr>周报（第6周）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祥辉 曾</cp:lastModifiedBy>
  <dcterms:created xsi:type="dcterms:W3CDTF">2026-10-15T04:51:40Z</dcterms:created>
  <dcterms:modified xsi:type="dcterms:W3CDTF">2026-10-15T04:54:10Z</dcterms:modified>
</cp:coreProperties>
</file>